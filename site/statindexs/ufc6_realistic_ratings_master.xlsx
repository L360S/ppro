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haniel\Documents\GitHub\ppro\site\statindexs\"/>
    </mc:Choice>
  </mc:AlternateContent>
  <xr:revisionPtr revIDLastSave="0" documentId="13_ncr:1_{B4B4BC77-904B-4DFC-B5E9-F699706FC4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listic Ratings" sheetId="1" r:id="rId1"/>
    <sheet name="Anchor Summary" sheetId="2" r:id="rId2"/>
    <sheet name="Distribution Audit" sheetId="3" r:id="rId3"/>
    <sheet name="Methodolo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J10" i="3"/>
  <c r="I10" i="3"/>
  <c r="H10" i="3"/>
  <c r="G10" i="3"/>
  <c r="F10" i="3"/>
  <c r="E10" i="3"/>
  <c r="D10" i="3"/>
  <c r="C10" i="3"/>
  <c r="B10" i="3"/>
  <c r="J9" i="3"/>
  <c r="I9" i="3"/>
  <c r="H9" i="3"/>
  <c r="G9" i="3"/>
  <c r="F9" i="3"/>
  <c r="E9" i="3"/>
  <c r="D9" i="3"/>
  <c r="C9" i="3"/>
  <c r="B9" i="3"/>
  <c r="J8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B7" i="3"/>
  <c r="J6" i="3"/>
  <c r="I6" i="3"/>
  <c r="H6" i="3"/>
  <c r="G6" i="3"/>
  <c r="F6" i="3"/>
  <c r="E6" i="3"/>
  <c r="D6" i="3"/>
  <c r="C6" i="3"/>
  <c r="B6" i="3"/>
  <c r="J5" i="3"/>
  <c r="I5" i="3"/>
  <c r="H5" i="3"/>
  <c r="G5" i="3"/>
  <c r="F5" i="3"/>
  <c r="E5" i="3"/>
  <c r="D5" i="3"/>
  <c r="C5" i="3"/>
  <c r="B5" i="3"/>
  <c r="J4" i="3"/>
  <c r="I4" i="3"/>
  <c r="H4" i="3"/>
  <c r="G4" i="3"/>
  <c r="F4" i="3"/>
  <c r="E4" i="3"/>
  <c r="D4" i="3"/>
  <c r="C4" i="3"/>
  <c r="B4" i="3"/>
  <c r="J3" i="3"/>
  <c r="I3" i="3"/>
  <c r="H3" i="3"/>
  <c r="G3" i="3"/>
  <c r="F3" i="3"/>
  <c r="E3" i="3"/>
  <c r="D3" i="3"/>
  <c r="C3" i="3"/>
  <c r="B3" i="3"/>
  <c r="J2" i="3"/>
  <c r="I2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<sst xmlns="http://schemas.openxmlformats.org/spreadsheetml/2006/main" count="437" uniqueCount="422">
  <si>
    <t>Fighter Name</t>
  </si>
  <si>
    <t>Profile URL</t>
  </si>
  <si>
    <t>CHIN</t>
  </si>
  <si>
    <t>CARDIO</t>
  </si>
  <si>
    <t>PUNCH SPEED</t>
  </si>
  <si>
    <t>PUNCH POWER</t>
  </si>
  <si>
    <t>KICK SPEED</t>
  </si>
  <si>
    <t>KICK POWER</t>
  </si>
  <si>
    <t>ACCURACY</t>
  </si>
  <si>
    <t>WRESTLING</t>
  </si>
  <si>
    <t>JIU-JITSU</t>
  </si>
  <si>
    <t>Kyoji Horiguchi</t>
  </si>
  <si>
    <t>https://www.ea.com/games/ufc/ufc-6/ufc-6-ratings-hub/ufc-6-kyoji-horiguchi</t>
  </si>
  <si>
    <t>Josh Hokit</t>
  </si>
  <si>
    <t>https://www.ea.com/games/ufc/ufc-6/ufc-6-ratings-hub/ufc-6-josh-hokit</t>
  </si>
  <si>
    <t>Rich Franklin</t>
  </si>
  <si>
    <t>https://www.ea.com/games/ufc/ufc-6/ufc-6-ratings-hub/ufc-6-rich-franklin</t>
  </si>
  <si>
    <t>Max Holloway</t>
  </si>
  <si>
    <t>https://www.ea.com/games/ufc/ufc-6/ufc-6-ratings-hub/ufc-6-max-holloway</t>
  </si>
  <si>
    <t>Conor McGregor</t>
  </si>
  <si>
    <t>https://www.ea.com/games/ufc/ufc-6/ufc-6-ratings-hub/ufc-6-conor-mcgregor</t>
  </si>
  <si>
    <t>Tank Abbott</t>
  </si>
  <si>
    <t>https://www.ea.com/games/ufc/ufc-6/ufc-6-ratings-hub/ufc-6-tank-abbott</t>
  </si>
  <si>
    <t>Uroš Medić</t>
  </si>
  <si>
    <t>https://www.ea.com/games/ufc/ufc-6/ufc-6-ratings-hub/ufc-6-uros-medic</t>
  </si>
  <si>
    <t>Kevin Vallejos</t>
  </si>
  <si>
    <t>https://www.ea.com/games/ufc/ufc-6/ufc-6-ratings-hub/ufc-6-kevin-vallejos</t>
  </si>
  <si>
    <t>Patricio Pitbull</t>
  </si>
  <si>
    <t>https://www.ea.com/games/ufc/ufc-6/ufc-6-ratings-hub/ufc-6-patricio-pitbull</t>
  </si>
  <si>
    <t>Aiemann Zahabi</t>
  </si>
  <si>
    <t>https://www.ea.com/games/ufc/ufc-6/ufc-6-ratings-hub/ufc-6-aiemann-zahabi</t>
  </si>
  <si>
    <t>Bogdan Guskov</t>
  </si>
  <si>
    <t>https://www.ea.com/games/ufc/ufc-6/ufc-6-ratings-hub/ufc-6-bogdan-guskov</t>
  </si>
  <si>
    <t>Gregory Rodrigues</t>
  </si>
  <si>
    <t>https://www.ea.com/games/ufc/ufc-6/ufc-6-ratings-hub/ufc-6-gregory-rodrigues</t>
  </si>
  <si>
    <t>Grant Dawson</t>
  </si>
  <si>
    <t>https://www.ea.com/games/ufc/ufc-6/ufc-6-ratings-hub/ufc-6-grant-dawson</t>
  </si>
  <si>
    <t>Israel Adesanya</t>
  </si>
  <si>
    <t>https://www.ea.com/games/ufc/ufc-6/ufc-6-ratings-hub/ufc-6-israel-adesanya</t>
  </si>
  <si>
    <t>Alex Pereira</t>
  </si>
  <si>
    <t>https://www.ea.com/games/ufc/ufc-6/ufc-6-ratings-hub/ufc-6-alex-pereira</t>
  </si>
  <si>
    <t>Valentina Shevchenko</t>
  </si>
  <si>
    <t>https://www.ea.com/games/ufc/ufc-6/ufc-6-ratings-hub/ufc-6-valentina-shevchenko</t>
  </si>
  <si>
    <t>Jon Jones</t>
  </si>
  <si>
    <t>https://www.ea.com/games/ufc/ufc-6/ufc-6-ratings-hub/ufc-6-jon-jones</t>
  </si>
  <si>
    <t>Alexander Volkanovski</t>
  </si>
  <si>
    <t>https://www.ea.com/games/ufc/ufc-6/ufc-6-ratings-hub/ufc-6-alexander-volkanovski</t>
  </si>
  <si>
    <t>Zhang Weili</t>
  </si>
  <si>
    <t>https://www.ea.com/games/ufc/ufc-6/ufc-6-ratings-hub/ufc-6-zhang-weili</t>
  </si>
  <si>
    <t>Charles Oliveira</t>
  </si>
  <si>
    <t>https://www.ea.com/games/ufc/ufc-6/ufc-6-ratings-hub/ufc-6-charles-oliveira</t>
  </si>
  <si>
    <t>Sean O'Malley</t>
  </si>
  <si>
    <t>https://www.ea.com/games/ufc/ufc-6/ufc-6-ratings-hub/ufc-6-sean-o-malley</t>
  </si>
  <si>
    <t>Khamzat Chimaev</t>
  </si>
  <si>
    <t>https://www.ea.com/games/ufc/ufc-6/ufc-6-ratings-hub/ufc-6-khamzat-chimaev</t>
  </si>
  <si>
    <t>Petr Yan</t>
  </si>
  <si>
    <t>https://www.ea.com/games/ufc/ufc-6/ufc-6-ratings-hub/ufc-6-petr-yan</t>
  </si>
  <si>
    <t>Anthony Hernandez</t>
  </si>
  <si>
    <t>https://www.ea.com/games/ufc/ufc-6/ufc-6-ratings-hub/ufc-6-anthony-hernandez</t>
  </si>
  <si>
    <t>Islam Makhachev</t>
  </si>
  <si>
    <t>https://www.ea.com/games/ufc/ufc-6/ufc-6-ratings-hub/ufc-6-islam-makhachev</t>
  </si>
  <si>
    <t>Maycee Barber</t>
  </si>
  <si>
    <t>https://www.ea.com/games/ufc/ufc-6/ufc-6-ratings-hub/ufc-6-maycee-barber</t>
  </si>
  <si>
    <t>Natalia Silva</t>
  </si>
  <si>
    <t>https://www.ea.com/games/ufc/ufc-6/ufc-6-ratings-hub/ufc-6-natalia-silva</t>
  </si>
  <si>
    <t>Alexa Grasso</t>
  </si>
  <si>
    <t>https://www.ea.com/games/ufc/ufc-6/ufc-6-ratings-hub/ufc-6-alexa-grasso</t>
  </si>
  <si>
    <t>Stipe Miocic</t>
  </si>
  <si>
    <t>https://www.ea.com/games/ufc/ufc-6/ufc-6-ratings-hub/ufc-6-stipe-miocic</t>
  </si>
  <si>
    <t>Erin Blanchfield</t>
  </si>
  <si>
    <t>https://www.ea.com/games/ufc/ufc-6/ufc-6-ratings-hub/ufc-6-erin-blanchfield</t>
  </si>
  <si>
    <t>Ailin Perez</t>
  </si>
  <si>
    <t>https://www.ea.com/games/ufc/ufc-6/ufc-6-ratings-hub/ufc-6-ailin-perez</t>
  </si>
  <si>
    <t>Manon Fiorot</t>
  </si>
  <si>
    <t>https://www.ea.com/games/ufc/ufc-6/ufc-6-ratings-hub/ufc-6-manon-fiorot</t>
  </si>
  <si>
    <t>Kayla Harrison</t>
  </si>
  <si>
    <t>https://www.ea.com/games/ufc/ufc-6/ufc-6-ratings-hub/ufc-6-kayla-harrison</t>
  </si>
  <si>
    <t>Yana Santos</t>
  </si>
  <si>
    <t>https://www.ea.com/games/ufc/ufc-6/ufc-6-ratings-hub/ufc-6-yana-santos</t>
  </si>
  <si>
    <t>Raquel Pennington</t>
  </si>
  <si>
    <t>https://www.ea.com/games/ufc/ufc-6/ufc-6-ratings-hub/ufc-6-raquel-pennington</t>
  </si>
  <si>
    <t>Norma Dumont</t>
  </si>
  <si>
    <t>https://www.ea.com/games/ufc/ufc-6/ufc-6-ratings-hub/ufc-6-norma-dumont</t>
  </si>
  <si>
    <t>Rose Namajunas</t>
  </si>
  <si>
    <t>https://www.ea.com/games/ufc/ufc-6/ufc-6-ratings-hub/ufc-6-rose-namajunas</t>
  </si>
  <si>
    <t>Kai Asakura</t>
  </si>
  <si>
    <t>https://www.ea.com/games/ufc/ufc-6/ufc-6-ratings-hub/ufc-6-kai-asakura</t>
  </si>
  <si>
    <t>Miranda Maverick</t>
  </si>
  <si>
    <t>https://www.ea.com/games/ufc/ufc-6/ufc-6-ratings-hub/ufc-6-miranda-maverick</t>
  </si>
  <si>
    <t>Randy Couture</t>
  </si>
  <si>
    <t>https://www.ea.com/games/ufc/ufc-6/ufc-6-ratings-hub/ufc-6-randy-couture</t>
  </si>
  <si>
    <t>Ken Shamrock</t>
  </si>
  <si>
    <t>https://www.ea.com/games/ufc/ufc-6/ufc-6-ratings-hub/ufc-6-ken-shamrock</t>
  </si>
  <si>
    <t>Amir Albazi</t>
  </si>
  <si>
    <t>https://www.ea.com/games/ufc/ufc-6/ufc-6-ratings-hub/ufc-6-amir-albazi</t>
  </si>
  <si>
    <t>Waldo Cortes Acosta</t>
  </si>
  <si>
    <t>https://www.ea.com/games/ufc/ufc-6/ufc-6-ratings-hub/ufc-6-waldo-cortes-acosta</t>
  </si>
  <si>
    <t>Joshua Van</t>
  </si>
  <si>
    <t>https://www.ea.com/games/ufc/ufc-6/ufc-6-ratings-hub/ufc-6-joshua-van</t>
  </si>
  <si>
    <t>Dominick Cruz</t>
  </si>
  <si>
    <t>https://www.ea.com/games/ufc/ufc-6/ufc-6-ratings-hub/ufc-6-dominick-cruz</t>
  </si>
  <si>
    <t>Manel Kape</t>
  </si>
  <si>
    <t>https://www.ea.com/games/ufc/ufc-6/ufc-6-ratings-hub/ufc-6-manel-kape</t>
  </si>
  <si>
    <t>Brandon Moreno</t>
  </si>
  <si>
    <t>https://www.ea.com/games/ufc/ufc-6/ufc-6-ratings-hub/ufc-6-brandon-moreno</t>
  </si>
  <si>
    <t>Demetrious Johnson</t>
  </si>
  <si>
    <t>https://www.ea.com/games/ufc/ufc-6/ufc-6-ratings-hub/ufc-6-demetrious-johnson</t>
  </si>
  <si>
    <t>Belal Muhammad</t>
  </si>
  <si>
    <t>https://www.ea.com/games/ufc/ufc-6/ufc-6-ratings-hub/ufc-6-belal-muhammad</t>
  </si>
  <si>
    <t>Mauricio Ruffy</t>
  </si>
  <si>
    <t>https://www.ea.com/games/ufc/ufc-6/ufc-6-ratings-hub/ufc-6-mauricio-ruffy</t>
  </si>
  <si>
    <t>Stephen Thompson</t>
  </si>
  <si>
    <t>https://www.ea.com/games/ufc/ufc-6/ufc-6-ratings-hub/ufc-6-stephen-thompson</t>
  </si>
  <si>
    <t>Rafael dos Anjos</t>
  </si>
  <si>
    <t>https://www.ea.com/games/ufc/ufc-6/ufc-6-ratings-hub/ufc-6-rafael-anjos</t>
  </si>
  <si>
    <t>Fedor Emelianenko</t>
  </si>
  <si>
    <t>https://www.ea.com/games/ufc/ufc-6/ufc-6-ratings-hub/ufc-6-fedor-emelianenko</t>
  </si>
  <si>
    <t>TJ Dillashaw</t>
  </si>
  <si>
    <t>https://www.ea.com/games/ufc/ufc-6/ufc-6-ratings-hub/ufc-6-tj-dillashaw</t>
  </si>
  <si>
    <t>Tom Aspinall</t>
  </si>
  <si>
    <t>https://www.ea.com/games/ufc/ufc-6/ufc-6-ratings-hub/ufc-6-tom-aspinall</t>
  </si>
  <si>
    <t>Jailton Almeida</t>
  </si>
  <si>
    <t>https://www.ea.com/games/ufc/ufc-6/ufc-6-ratings-hub/ufc-6-jailton-almeida</t>
  </si>
  <si>
    <t>Ciryl Gane</t>
  </si>
  <si>
    <t>https://www.ea.com/games/ufc/ufc-6/ufc-6-ratings-hub/ufc-6-ciryl-gane</t>
  </si>
  <si>
    <t>Matt Hughes</t>
  </si>
  <si>
    <t>https://www.ea.com/games/ufc/ufc-6/ufc-6-ratings-hub/ufc-6-matt-hughes</t>
  </si>
  <si>
    <t>Chan Sung Jung</t>
  </si>
  <si>
    <t>https://www.ea.com/games/ufc/ufc-6/ufc-6-ratings-hub/ufc-6-chan-sung-jung</t>
  </si>
  <si>
    <t>Antonio Rodrigo Nogueira</t>
  </si>
  <si>
    <t>https://www.ea.com/games/ufc/ufc-6/ufc-6-ratings-hub/ufc-6-antonio-rodrigo-nogueira</t>
  </si>
  <si>
    <t>Shavkat Rakhmonov</t>
  </si>
  <si>
    <t>https://www.ea.com/games/ufc/ufc-6/ufc-6-ratings-hub/ufc-6-shavkat-rakhmonov</t>
  </si>
  <si>
    <t>Sean Strickland</t>
  </si>
  <si>
    <t>https://www.ea.com/games/ufc/ufc-6/ufc-6-ratings-hub/ufc-6-sean-strickland</t>
  </si>
  <si>
    <t>Kamaru Usman</t>
  </si>
  <si>
    <t>https://www.ea.com/games/ufc/ufc-6/ufc-6-ratings-hub/ufc-6-kamaru-usman</t>
  </si>
  <si>
    <t>Tito Ortiz</t>
  </si>
  <si>
    <t>https://www.ea.com/games/ufc/ufc-6/ufc-6-ratings-hub/ufc-6-tito-ortiz</t>
  </si>
  <si>
    <t>Iasmin Lucindo</t>
  </si>
  <si>
    <t>https://www.ea.com/games/ufc/ufc-6/ufc-6-ratings-hub/ufc-6-iasmin-lucindo</t>
  </si>
  <si>
    <t>Carla Esparza</t>
  </si>
  <si>
    <t>https://www.ea.com/games/ufc/ufc-6/ufc-6-ratings-hub/ufc-6-carla-esparza</t>
  </si>
  <si>
    <t>Julianna Pena</t>
  </si>
  <si>
    <t>https://www.ea.com/games/ufc/ufc-6/ufc-6-ratings-hub/ufc-6-julianna-pena</t>
  </si>
  <si>
    <t>Joanna Jedrzejczyk</t>
  </si>
  <si>
    <t>https://www.ea.com/games/ufc/ufc-6/ufc-6-ratings-hub/ufc-6-joanna-jedrzejczyk</t>
  </si>
  <si>
    <t>Macy Chiasson</t>
  </si>
  <si>
    <t>https://www.ea.com/games/ufc/ufc-6/ufc-6-ratings-hub/ufc-6-macy-chiasson</t>
  </si>
  <si>
    <t>Ronda Rousey</t>
  </si>
  <si>
    <t>https://www.ea.com/games/ufc/ufc-6/ufc-6-ratings-hub/ufc-6-ronda-rousey</t>
  </si>
  <si>
    <t>Holly Holm</t>
  </si>
  <si>
    <t>https://www.ea.com/games/ufc/ufc-6/ufc-6-ratings-hub/ufc-6-holly-holm</t>
  </si>
  <si>
    <t>Jasmine Jasudavicius</t>
  </si>
  <si>
    <t>https://www.ea.com/games/ufc/ufc-6/ufc-6-ratings-hub/ufc-6-jasmine-jasudavicius</t>
  </si>
  <si>
    <t>Virna Jandiroba</t>
  </si>
  <si>
    <t>https://www.ea.com/games/ufc/ufc-6/ufc-6-ratings-hub/ufc-6-virna-jandiroba</t>
  </si>
  <si>
    <t>Ilia Topuria</t>
  </si>
  <si>
    <t>https://www.ea.com/games/ufc/ufc-6/ufc-6-ratings-hub/ufc-6-ilia-topuria</t>
  </si>
  <si>
    <t>Amanda Nunes</t>
  </si>
  <si>
    <t>https://www.ea.com/games/ufc/ufc-6/ufc-6-ratings-hub/ufc-6-amanda-nunes</t>
  </si>
  <si>
    <t>Alexandre Pantoja</t>
  </si>
  <si>
    <t>https://www.ea.com/games/ufc/ufc-6/ufc-6-ratings-hub/ufc-6-alexandre-pantoja</t>
  </si>
  <si>
    <t>Shamil Gaziev</t>
  </si>
  <si>
    <t>https://www.ea.com/games/ufc/ufc-6/ufc-6-ratings-hub/ufc-6-shamil-gaziev</t>
  </si>
  <si>
    <t>Youssef Zalal</t>
  </si>
  <si>
    <t>https://www.ea.com/games/ufc/ufc-6/ufc-6-ratings-hub/ufc-6-youssef-zalal</t>
  </si>
  <si>
    <t>David Onama</t>
  </si>
  <si>
    <t>https://www.ea.com/games/ufc/ufc-6/ufc-6-ratings-hub/ufc-6-david-onama</t>
  </si>
  <si>
    <t>Asu Almabayev</t>
  </si>
  <si>
    <t>https://www.ea.com/games/ufc/ufc-6/ufc-6-ratings-hub/ufc-6-asu-almabayev</t>
  </si>
  <si>
    <t>Mario Bautista</t>
  </si>
  <si>
    <t>https://www.ea.com/games/ufc/ufc-6/ufc-6-ratings-hub/ufc-6-mario-bautista</t>
  </si>
  <si>
    <t>Pedro Munhoz</t>
  </si>
  <si>
    <t>https://www.ea.com/games/ufc/ufc-6/ufc-6-ratings-hub/ufc-6-pedro-munhoz</t>
  </si>
  <si>
    <t>Song Yadong</t>
  </si>
  <si>
    <t>https://www.ea.com/games/ufc/ufc-6/ufc-6-ratings-hub/ufc-6-song-yadong</t>
  </si>
  <si>
    <t>Brian Ortega</t>
  </si>
  <si>
    <t>https://www.ea.com/games/ufc/ufc-6/ufc-6-ratings-hub/ufc-6-brian-ortega</t>
  </si>
  <si>
    <t>Cody Garbrandt</t>
  </si>
  <si>
    <t>https://www.ea.com/games/ufc/ufc-6/ufc-6-ratings-hub/ufc-6-cody-garbrandt</t>
  </si>
  <si>
    <t>Deiveson Figueiredo</t>
  </si>
  <si>
    <t>https://www.ea.com/games/ufc/ufc-6/ufc-6-ratings-hub/ufc-6-deiveson-figueiredo</t>
  </si>
  <si>
    <t>Umar Nurmagomedov</t>
  </si>
  <si>
    <t>https://www.ea.com/games/ufc/ufc-6/ufc-6-ratings-hub/ufc-6-umar-nurmagomedov</t>
  </si>
  <si>
    <t>Aljamain Sterling</t>
  </si>
  <si>
    <t>https://www.ea.com/games/ufc/ufc-6/ufc-6-ratings-hub/ufc-6-aljamain-sterling</t>
  </si>
  <si>
    <t>Marlon Vera</t>
  </si>
  <si>
    <t>https://www.ea.com/games/ufc/ufc-6/ufc-6-ratings-hub/ufc-6-marlon-vera</t>
  </si>
  <si>
    <t>Tim Elliott</t>
  </si>
  <si>
    <t>https://www.ea.com/games/ufc/ufc-6/ufc-6-ratings-hub/ufc-6-tim-elliott</t>
  </si>
  <si>
    <t>Merab Dvalishvili</t>
  </si>
  <si>
    <t>https://www.ea.com/games/ufc/ufc-6/ufc-6-ratings-hub/ufc-6-merab-dvalishvili</t>
  </si>
  <si>
    <t>Tatsuro Taira</t>
  </si>
  <si>
    <t>https://www.ea.com/games/ufc/ufc-6/ufc-6-ratings-hub/ufc-6-tatsuro-taira</t>
  </si>
  <si>
    <t>Charles Johnson</t>
  </si>
  <si>
    <t>https://www.ea.com/games/ufc/ufc-6/ufc-6-ratings-hub/ufc-6-charles-johnson</t>
  </si>
  <si>
    <t>Cory Sandhagen</t>
  </si>
  <si>
    <t>https://www.ea.com/games/ufc/ufc-6/ufc-6-ratings-hub/ufc-6-cory-sandhagen</t>
  </si>
  <si>
    <t>Henry Cejudo</t>
  </si>
  <si>
    <t>https://www.ea.com/games/ufc/ufc-6/ufc-6-ratings-hub/ufc-6-henry-cejudo</t>
  </si>
  <si>
    <t>Brandon Royval</t>
  </si>
  <si>
    <t>https://www.ea.com/games/ufc/ufc-6/ufc-6-ratings-hub/ufc-6-brandon-royval</t>
  </si>
  <si>
    <t>Arman Tsarukyan</t>
  </si>
  <si>
    <t>https://www.ea.com/games/ufc/ufc-6/ufc-6-ratings-hub/ufc-6-arman-tsarukyan</t>
  </si>
  <si>
    <t>Clay Guida</t>
  </si>
  <si>
    <t>https://www.ea.com/games/ufc/ufc-6/ufc-6-ratings-hub/ufc-6-clay-guida</t>
  </si>
  <si>
    <t>Jalin Turner</t>
  </si>
  <si>
    <t>https://www.ea.com/games/ufc/ufc-6/ufc-6-ratings-hub/ufc-6-jalin-turner</t>
  </si>
  <si>
    <t>Dustin Poirier</t>
  </si>
  <si>
    <t>https://www.ea.com/games/ufc/ufc-6/ufc-6-ratings-hub/ufc-6-dustin-poirier</t>
  </si>
  <si>
    <t>Yair Rodriguez</t>
  </si>
  <si>
    <t>https://www.ea.com/games/ufc/ufc-6/ufc-6-ratings-hub/ufc-6-yair-rodriguez</t>
  </si>
  <si>
    <t>Jose Aldo</t>
  </si>
  <si>
    <t>https://www.ea.com/games/ufc/ufc-6/ufc-6-ratings-hub/ufc-6-jose-aldo</t>
  </si>
  <si>
    <t>Ignacio Bahamondes</t>
  </si>
  <si>
    <t>https://www.ea.com/games/ufc/ufc-6/ufc-6-ratings-hub/ufc-6-ignacio-bahamondes</t>
  </si>
  <si>
    <t>Lerone Murphy</t>
  </si>
  <si>
    <t>https://www.ea.com/games/ufc/ufc-6/ufc-6-ratings-hub/ufc-6-lerone-murphy</t>
  </si>
  <si>
    <t>Jean Silva</t>
  </si>
  <si>
    <t>https://www.ea.com/games/ufc/ufc-6/ufc-6-ratings-hub/ufc-6-jean-silva</t>
  </si>
  <si>
    <t>Edson Barboza</t>
  </si>
  <si>
    <t>https://www.ea.com/games/ufc/ufc-6/ufc-6-ratings-hub/ufc-6-edson-barboza</t>
  </si>
  <si>
    <t>Benoit Saint Denis</t>
  </si>
  <si>
    <t>https://www.ea.com/games/ufc/ufc-6/ufc-6-ratings-hub/ufc-6-benoit-denis</t>
  </si>
  <si>
    <t>Diego Lopes</t>
  </si>
  <si>
    <t>https://www.ea.com/games/ufc/ufc-6/ufc-6-ratings-hub/ufc-6-diego-lopes</t>
  </si>
  <si>
    <t>Beneil Dariush</t>
  </si>
  <si>
    <t>https://www.ea.com/games/ufc/ufc-6/ufc-6-ratings-hub/ufc-6-beneil-dariush</t>
  </si>
  <si>
    <t>Movsar Evloev</t>
  </si>
  <si>
    <t>https://www.ea.com/games/ufc/ufc-6/ufc-6-ratings-hub/ufc-6-movsar-evloev</t>
  </si>
  <si>
    <t>Donald Cerrone</t>
  </si>
  <si>
    <t>https://www.ea.com/games/ufc/ufc-6/ufc-6-ratings-hub/ufc-6-donald-cerrone</t>
  </si>
  <si>
    <t>Frankie Edgar</t>
  </si>
  <si>
    <t>https://www.ea.com/games/ufc/ufc-6/ufc-6-ratings-hub/ufc-6-frankie-edgar</t>
  </si>
  <si>
    <t>Michael Chandler</t>
  </si>
  <si>
    <t>https://www.ea.com/games/ufc/ufc-6/ufc-6-ratings-hub/ufc-6-michael-chandler</t>
  </si>
  <si>
    <t>Tony Ferguson</t>
  </si>
  <si>
    <t>https://www.ea.com/games/ufc/ufc-6/ufc-6-ratings-hub/ufc-6-tony-ferguson</t>
  </si>
  <si>
    <t>Joaquin Buckley</t>
  </si>
  <si>
    <t>https://www.ea.com/games/ufc/ufc-6/ufc-6-ratings-hub/ufc-6-joaquin-buckley</t>
  </si>
  <si>
    <t>King Green</t>
  </si>
  <si>
    <t>https://www.ea.com/games/ufc/ufc-6/ufc-6-ratings-hub/ufc-6-king-green</t>
  </si>
  <si>
    <t>Khabib Nurmagomedov</t>
  </si>
  <si>
    <t>https://www.ea.com/games/ufc/ufc-6/ufc-6-ratings-hub/ufc-6-khabib-nurmagomedov</t>
  </si>
  <si>
    <t>Renato Moicano</t>
  </si>
  <si>
    <t>https://www.ea.com/games/ufc/ufc-6/ufc-6-ratings-hub/ufc-6-renato-moicano</t>
  </si>
  <si>
    <t>Michael Page</t>
  </si>
  <si>
    <t>https://www.ea.com/games/ufc/ufc-6/ufc-6-ratings-hub/ufc-6-michael-page</t>
  </si>
  <si>
    <t>Mateusz Gamrot</t>
  </si>
  <si>
    <t>https://www.ea.com/games/ufc/ufc-6/ufc-6-ratings-hub/ufc-6-mateusz-gamrot</t>
  </si>
  <si>
    <t>Jorge Masvidal</t>
  </si>
  <si>
    <t>https://www.ea.com/games/ufc/ufc-6/ufc-6-ratings-hub/ufc-6-jorge-masvidal</t>
  </si>
  <si>
    <t>Leon Edwards</t>
  </si>
  <si>
    <t>https://www.ea.com/games/ufc/ufc-6/ufc-6-ratings-hub/ufc-6-leon-edwards</t>
  </si>
  <si>
    <t>Georges St Pierre</t>
  </si>
  <si>
    <t>https://www.ea.com/games/ufc/ufc-6/ufc-6-ratings-hub/ufc-6-georges-st-pierre</t>
  </si>
  <si>
    <t>Justin Gaethje</t>
  </si>
  <si>
    <t>https://www.ea.com/games/ufc/ufc-6/ufc-6-ratings-hub/ufc-6-justin-gaethje</t>
  </si>
  <si>
    <t>Jack Della Maddalena</t>
  </si>
  <si>
    <t>https://www.ea.com/games/ufc/ufc-6/ufc-6-ratings-hub/ufc-6-jack-della-maddalena</t>
  </si>
  <si>
    <t>Rafael Fiziev</t>
  </si>
  <si>
    <t>https://www.ea.com/games/ufc/ufc-6/ufc-6-ratings-hub/ufc-6-rafael-fiziev</t>
  </si>
  <si>
    <t>Dan Hooker</t>
  </si>
  <si>
    <t>https://www.ea.com/games/ufc/ufc-6/ufc-6-ratings-hub/ufc-6-dan-hooker</t>
  </si>
  <si>
    <t>Ian Machado Garry</t>
  </si>
  <si>
    <t>https://www.ea.com/games/ufc/ufc-6/ufc-6-ratings-hub/ufc-6-ian-machado-garry</t>
  </si>
  <si>
    <t>Sean Brady</t>
  </si>
  <si>
    <t>https://www.ea.com/games/ufc/ufc-6/ufc-6-ratings-hub/ufc-6-sean-brady</t>
  </si>
  <si>
    <t>Bo Nickal</t>
  </si>
  <si>
    <t>https://www.ea.com/games/ufc/ufc-6/ufc-6-ratings-hub/ufc-6-bo-nickal</t>
  </si>
  <si>
    <t>Tyron Woodley</t>
  </si>
  <si>
    <t>https://www.ea.com/games/ufc/ufc-6/ufc-6-ratings-hub/ufc-6-tyron-woodley</t>
  </si>
  <si>
    <t>Caio Borralho</t>
  </si>
  <si>
    <t>https://www.ea.com/games/ufc/ufc-6/ufc-6-ratings-hub/ufc-6-caio-borralho</t>
  </si>
  <si>
    <t>Luke Rockhold</t>
  </si>
  <si>
    <t>https://www.ea.com/games/ufc/ufc-6/ufc-6-ratings-hub/ufc-6-luke-rockhold</t>
  </si>
  <si>
    <t>Kevin Holland</t>
  </si>
  <si>
    <t>https://www.ea.com/games/ufc/ufc-6/ufc-6-ratings-hub/ufc-6-kevin-holland</t>
  </si>
  <si>
    <t>Nassourdine Imavov</t>
  </si>
  <si>
    <t>https://www.ea.com/games/ufc/ufc-6/ufc-6-ratings-hub/ufc-6-nassourdine-imavov</t>
  </si>
  <si>
    <t>Nick Diaz</t>
  </si>
  <si>
    <t>https://www.ea.com/games/ufc/ufc-6/ufc-6-ratings-hub/ufc-6-nick-diaz</t>
  </si>
  <si>
    <t>Dricus Du Plessis</t>
  </si>
  <si>
    <t>https://www.ea.com/games/ufc/ufc-6/ufc-6-ratings-hub/ufc-6-dricus-du-plessis</t>
  </si>
  <si>
    <t>Robbie Lawler</t>
  </si>
  <si>
    <t>https://www.ea.com/games/ufc/ufc-6/ufc-6-ratings-hub/ufc-6-robbie-lawler</t>
  </si>
  <si>
    <t>Dan Henderson</t>
  </si>
  <si>
    <t>https://www.ea.com/games/ufc/ufc-6/ufc-6-ratings-hub/ufc-6-dan-henderson</t>
  </si>
  <si>
    <t>Anderson Silva</t>
  </si>
  <si>
    <t>https://www.ea.com/games/ufc/ufc-6/ufc-6-ratings-hub/ufc-6-anderson-silva</t>
  </si>
  <si>
    <t>Vicente Luque</t>
  </si>
  <si>
    <t>https://www.ea.com/games/ufc/ufc-6/ufc-6-ratings-hub/ufc-6-vicente-luque</t>
  </si>
  <si>
    <t>Robert Whittaker</t>
  </si>
  <si>
    <t>https://www.ea.com/games/ufc/ufc-6/ufc-6-ratings-hub/ufc-6-robert-whittaker</t>
  </si>
  <si>
    <t>Chris Weidman</t>
  </si>
  <si>
    <t>https://www.ea.com/games/ufc/ufc-6/ufc-6-ratings-hub/ufc-6-chris-weidman</t>
  </si>
  <si>
    <t>Reinier De Ridder</t>
  </si>
  <si>
    <t>https://www.ea.com/games/ufc/ufc-6/ufc-6-ratings-hub/ufc-6-reinier-de-ridder</t>
  </si>
  <si>
    <t>Glover Teixeira</t>
  </si>
  <si>
    <t>https://www.ea.com/games/ufc/ufc-6/ufc-6-ratings-hub/ufc-6-glover-teixeira</t>
  </si>
  <si>
    <t>Dominick Reyes</t>
  </si>
  <si>
    <t>https://www.ea.com/games/ufc/ufc-6/ufc-6-ratings-hub/ufc-6-dominick-reyes</t>
  </si>
  <si>
    <t>Amanda Lemos</t>
  </si>
  <si>
    <t>https://www.ea.com/games/ufc/ufc-6/ufc-6-ratings-hub/ufc-6-amanda-lemos</t>
  </si>
  <si>
    <t>Jiří Procházka</t>
  </si>
  <si>
    <t>https://www.ea.com/games/ufc/ufc-6/ufc-6-ratings-hub/ufc-6-jiri-prochazka</t>
  </si>
  <si>
    <t>Daniel Cormier</t>
  </si>
  <si>
    <t>https://www.ea.com/games/ufc/ufc-6/ufc-6-ratings-hub/ufc-6-daniel-cormier</t>
  </si>
  <si>
    <t>Vitor Belfort</t>
  </si>
  <si>
    <t>https://www.ea.com/games/ufc/ufc-6/ufc-6-ratings-hub/ufc-6-vitor-belfort</t>
  </si>
  <si>
    <t>Magomed Ankalaev</t>
  </si>
  <si>
    <t>https://www.ea.com/games/ufc/ufc-6/ufc-6-ratings-hub/ufc-6-magomed-ankalaev</t>
  </si>
  <si>
    <t>Paulo Costa</t>
  </si>
  <si>
    <t>https://www.ea.com/games/ufc/ufc-6/ufc-6-ratings-hub/ufc-6-paulo-costa</t>
  </si>
  <si>
    <t>Aleksandar Rakić</t>
  </si>
  <si>
    <t>https://www.ea.com/games/ufc/ufc-6/ufc-6-ratings-hub/ufc-6-aleksandar-rakic</t>
  </si>
  <si>
    <t>Curtis Blaydes</t>
  </si>
  <si>
    <t>https://www.ea.com/games/ufc/ufc-6/ufc-6-ratings-hub/ufc-6-curtis-blaydes</t>
  </si>
  <si>
    <t>Carlos Ulberg</t>
  </si>
  <si>
    <t>https://www.ea.com/games/ufc/ufc-6/ufc-6-ratings-hub/ufc-6-carlos-ulberg</t>
  </si>
  <si>
    <t>Chuck Liddell</t>
  </si>
  <si>
    <t>https://www.ea.com/games/ufc/ufc-6/ufc-6-ratings-hub/ufc-6-chuck-liddell</t>
  </si>
  <si>
    <t>Jan Błachowicz</t>
  </si>
  <si>
    <t>https://www.ea.com/games/ufc/ufc-6/ufc-6-ratings-hub/ufc-6-jan-blachowicz</t>
  </si>
  <si>
    <t>Alexander Gustafsson</t>
  </si>
  <si>
    <t>https://www.ea.com/games/ufc/ufc-6/ufc-6-ratings-hub/ufc-6-alexander-gustafsson</t>
  </si>
  <si>
    <t>Derrick Lewis</t>
  </si>
  <si>
    <t>https://www.ea.com/games/ufc/ufc-6/ufc-6-ratings-hub/ufc-6-derrick-lewis</t>
  </si>
  <si>
    <t>Alexander Volkov</t>
  </si>
  <si>
    <t>https://www.ea.com/games/ufc/ufc-6/ufc-6-ratings-hub/ufc-6-alexander-volkov</t>
  </si>
  <si>
    <t>Jéssica Andrade</t>
  </si>
  <si>
    <t>https://www.ea.com/games/ufc/ufc-6/ufc-6-ratings-hub/ufc-6-jessica-andrade</t>
  </si>
  <si>
    <t>Mackenzie Dern</t>
  </si>
  <si>
    <t>https://www.ea.com/games/ufc/ufc-6/ufc-6-ratings-hub/ufc-6-mackenzie-dern</t>
  </si>
  <si>
    <t>Yan Xiaonan</t>
  </si>
  <si>
    <t>https://www.ea.com/games/ufc/ufc-6/ufc-6-ratings-hub/ufc-6-yan-xiaonan</t>
  </si>
  <si>
    <t>Fighter</t>
  </si>
  <si>
    <t>Raw CHIN</t>
  </si>
  <si>
    <t>Final CHIN</t>
  </si>
  <si>
    <t>Raw CARDIO</t>
  </si>
  <si>
    <t>Final CARDIO</t>
  </si>
  <si>
    <t>Raw PUNCH SPEED</t>
  </si>
  <si>
    <t>Final PUNCH SPEED</t>
  </si>
  <si>
    <t>Raw PUNCH POWER</t>
  </si>
  <si>
    <t>Final PUNCH POWER</t>
  </si>
  <si>
    <t>Raw TAKEDOWNS</t>
  </si>
  <si>
    <t>Raw GROUND STRIKING</t>
  </si>
  <si>
    <t>Final WRESTLING</t>
  </si>
  <si>
    <t>Raw SUBMISSION OFFENSE</t>
  </si>
  <si>
    <t>Final JIU-JITSU</t>
  </si>
  <si>
    <t>Narrative Rationale</t>
  </si>
  <si>
    <t>Peak-identity durability/cardio anchor; punch power held at volume-striker floor rather than artificially crushed.</t>
  </si>
  <si>
    <t>Missing raw TAKEDOWNS imputed to 100 before merge; cardio and wrestling set as historic engine/control anchors.</t>
  </si>
  <si>
    <t>One-shot power preserved at 100; cardio and submission-grappling safety nets stripped.</t>
  </si>
  <si>
    <t>Hand speed and accuracy retained as defining 100s; cardio exposed and wrestling set to eye-test 80.</t>
  </si>
  <si>
    <t>Raw 100 chin reduced after damage/KO context; elite grappling retained without game-balance inflation.</t>
  </si>
  <si>
    <t>Fast-hands identity protected with 100 punch speed; chin sharply reduced to reflect repeated knockout vulnerability.</t>
  </si>
  <si>
    <t>Attribute</t>
  </si>
  <si>
    <t>Mean</t>
  </si>
  <si>
    <t>Min</t>
  </si>
  <si>
    <t>Max</t>
  </si>
  <si>
    <t>Below 60</t>
  </si>
  <si>
    <t>60–69</t>
  </si>
  <si>
    <t>70–79</t>
  </si>
  <si>
    <t>80–89</t>
  </si>
  <si>
    <t>90–99</t>
  </si>
  <si>
    <t>Count 100</t>
  </si>
  <si>
    <t>100-Rated Fighters</t>
  </si>
  <si>
    <t>Max Holloway, Dan Hooker</t>
  </si>
  <si>
    <t>Max Holloway, Merab Dvalishvili</t>
  </si>
  <si>
    <t>Conor McGregor, Cody Garbrandt</t>
  </si>
  <si>
    <t>Alex Pereira, Derrick Lewis</t>
  </si>
  <si>
    <t>Israel Adesanya, Stephen Thompson</t>
  </si>
  <si>
    <t>Alex Pereira, Edson Barboza</t>
  </si>
  <si>
    <t>Conor McGregor, Sean O'Malley</t>
  </si>
  <si>
    <t>Merab Dvalishvili, Khabib Nurmagomedov, Georges St Pierre</t>
  </si>
  <si>
    <t>Charles Oliveira, Mackenzie Dern</t>
  </si>
  <si>
    <t>Global Mean (all 9 stats)</t>
  </si>
  <si>
    <t>UFC 6 Realistic Ratings Re-Architecture</t>
  </si>
  <si>
    <t>Scope</t>
  </si>
  <si>
    <t>163 fighter rows retained. Fighter Name and Profile URL preserved exactly from retained source rows.</t>
  </si>
  <si>
    <t>Cleaning</t>
  </si>
  <si>
    <t>Removed 3 non-fighter news/article rows: UFC 6 New Rostered Fighters - June 5, 2026; EA SPORTS UFC 6: Introducing Flow States; EA SPORTS™ UFC® 6 Ratings: An Evolution.</t>
  </si>
  <si>
    <t>Missing value imputation</t>
  </si>
  <si>
    <t>Merab Dvalishvili TAKEDOWNS was blank; imputed to raw 100 as an elite baseline before any merge/scaling.</t>
  </si>
  <si>
    <t>Rating identity</t>
  </si>
  <si>
    <t>Ratings represent each fighter's recognizable career/competitive peak identity, not a strict age-adjusted August 2026 current-form snapshot.</t>
  </si>
  <si>
    <t>Nonlinear scale</t>
  </si>
  <si>
    <t>Base formula: Rating = ROUND(55 + 45 × ((CLIP(raw,80,100)-80)/20)^1.70). Non-anchor raw 100s are capped at 99 until historical 100 anchors are explicitly awarded.</t>
  </si>
  <si>
    <t>Curve examples</t>
  </si>
  <si>
    <t>Raw 90→69, 91→71, 94→80, 97→89, 99→96, 100→100. This makes the top-end increments progressively more valuable.</t>
  </si>
  <si>
    <t>WRESTLING merge</t>
  </si>
  <si>
    <t>Pre-scale composite = 62% TAKEDOWNS + 38% GROUND STRIKING. Narrative overrides then account for sprawl/anti-wrestling, opponent quality, control, and defensive wrestling.</t>
  </si>
  <si>
    <t>JIU-JITSU merge</t>
  </si>
  <si>
    <t>Pre-scale composite = 80% SUBMISSION OFFENSE + 20% defensive grappling proxy; proxy = 55% GROUND STRIKING + 45% TAKEDOWNS. Narrative overrides address guard retention/submission survival.</t>
  </si>
  <si>
    <t>Narrative overlay</t>
  </si>
  <si>
    <t>High-confidence contextual overlays were applied to 83 roster entries for identity-defining strengths, known specialist weaknesses, durability, cardio, and grappling/striking archetypes. Other cells retain the nonlinear source transformation.</t>
  </si>
  <si>
    <t>Volume punch-power floor</t>
  </si>
  <si>
    <t>Max Holloway set to 81 and Cory Sandhagen held at 82 so elite volume striking remains damaging without pretending they are one-shot power punchers.</t>
  </si>
  <si>
    <t>Wrestling eye-test anchors</t>
  </si>
  <si>
    <t>Conor McGregor WRESTLING = 80; Max Holloway WRESTLING = 74, deliberately separating sprawl/hip mechanics and elite-wrestler opposition from raw takedown-defense percentages.</t>
  </si>
  <si>
    <t>CHIN calibration</t>
  </si>
  <si>
    <t>Max Holloway CHIN = 100 as a peak durability identity anchor; Alexandre Pantoja raw CHIN 100 reduced to 92 after damage/KO context; Cody Garbrandt reduced to 62 to expose repeated KO vulnerability.</t>
  </si>
  <si>
    <t>100-rule note</t>
  </si>
  <si>
    <t>At least two 100s are present in every attribute. Demian Maia is not in this source roster, so Mackenzie Dern is used alongside Charles Oliveira as the second JIU-JITSU 100.</t>
  </si>
  <si>
    <t>External verification</t>
  </si>
  <si>
    <t>Official UFCStats was used as a context check for key anchors; URLs below.</t>
  </si>
  <si>
    <t>Max Holloway UFCStats</t>
  </si>
  <si>
    <t>https://ufcstats.com/fighter-details/150ff4cc642270b9</t>
  </si>
  <si>
    <t>Alexandre Pantoja UFCStats</t>
  </si>
  <si>
    <t>https://ufcstats.com/fighter-details/a0f0004aadf10b71</t>
  </si>
  <si>
    <t>Merab Dvalishvili UFCStats</t>
  </si>
  <si>
    <t>https://ufcstats.com/fighter-details/c03520b5c88ed6b4</t>
  </si>
  <si>
    <t>Derrick Lewis UFCStats</t>
  </si>
  <si>
    <t>https://ufcstats.com/fighter-details/d3df1add9d9a7efb</t>
  </si>
  <si>
    <t>Cody Garbrandt UFCStats</t>
  </si>
  <si>
    <t>https://ufcstats.com/fighter-details/d8c7c61b176e3994</t>
  </si>
  <si>
    <t>Conor McGregor vs Chad Mendes</t>
  </si>
  <si>
    <t>https://ufcstats.com/fight-details/70290140b6a8e038</t>
  </si>
  <si>
    <t>Khabib Nurmagomedov vs Conor McGregor</t>
  </si>
  <si>
    <t>https://ufcstats.com/fight-details/3eea92e7f26fb05b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</si>
</sst>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listicRatingsTable" displayName="RealisticRatingsTable" ref="A1:K164" totalsRowShown="0">
  <tableColumns count="11">
    <tableColumn id="1" xr3:uid="{00000000-0010-0000-0000-000001000000}" name="Fighter Name"/>
    <tableColumn id="2" xr3:uid="{00000000-0010-0000-0000-000002000000}" name="Profile URL"/>
    <tableColumn id="3" xr3:uid="{00000000-0010-0000-0000-000003000000}" name="CHIN"/>
    <tableColumn id="4" xr3:uid="{00000000-0010-0000-0000-000004000000}" name="CARDIO"/>
    <tableColumn id="5" xr3:uid="{00000000-0010-0000-0000-000005000000}" name="PUNCH SPEED"/>
    <tableColumn id="6" xr3:uid="{00000000-0010-0000-0000-000006000000}" name="PUNCH POWER"/>
    <tableColumn id="7" xr3:uid="{00000000-0010-0000-0000-000007000000}" name="KICK SPEED"/>
    <tableColumn id="8" xr3:uid="{00000000-0010-0000-0000-000008000000}" name="KICK POWER"/>
    <tableColumn id="9" xr3:uid="{00000000-0010-0000-0000-000009000000}" name="ACCURACY"/>
    <tableColumn id="10" xr3:uid="{00000000-0010-0000-0000-00000A000000}" name="WRESTLING"/>
    <tableColumn id="11" xr3:uid="{00000000-0010-0000-0000-00000B000000}" name="JIU-JITS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chorSummaryTable" displayName="AnchorSummaryTable" ref="A1:O7" totalsRowShown="0">
  <tableColumns count="15">
    <tableColumn id="1" xr3:uid="{00000000-0010-0000-0100-000001000000}" name="Fighter"/>
    <tableColumn id="2" xr3:uid="{00000000-0010-0000-0100-000002000000}" name="Raw CHIN"/>
    <tableColumn id="3" xr3:uid="{00000000-0010-0000-0100-000003000000}" name="Final CHIN"/>
    <tableColumn id="4" xr3:uid="{00000000-0010-0000-0100-000004000000}" name="Raw CARDIO"/>
    <tableColumn id="5" xr3:uid="{00000000-0010-0000-0100-000005000000}" name="Final CARDIO"/>
    <tableColumn id="6" xr3:uid="{00000000-0010-0000-0100-000006000000}" name="Raw PUNCH SPEED"/>
    <tableColumn id="7" xr3:uid="{00000000-0010-0000-0100-000007000000}" name="Final PUNCH SPEED"/>
    <tableColumn id="8" xr3:uid="{00000000-0010-0000-0100-000008000000}" name="Raw PUNCH POWER"/>
    <tableColumn id="9" xr3:uid="{00000000-0010-0000-0100-000009000000}" name="Final PUNCH POWER"/>
    <tableColumn id="10" xr3:uid="{00000000-0010-0000-0100-00000A000000}" name="Raw TAKEDOWNS"/>
    <tableColumn id="11" xr3:uid="{00000000-0010-0000-0100-00000B000000}" name="Raw GROUND STRIKING"/>
    <tableColumn id="12" xr3:uid="{00000000-0010-0000-0100-00000C000000}" name="Final WRESTLING"/>
    <tableColumn id="13" xr3:uid="{00000000-0010-0000-0100-00000D000000}" name="Raw SUBMISSION OFFENSE"/>
    <tableColumn id="14" xr3:uid="{00000000-0010-0000-0100-00000E000000}" name="Final JIU-JITSU"/>
    <tableColumn id="15" xr3:uid="{00000000-0010-0000-0100-00000F000000}" name="Narrative Rat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zoomScaleNormal="100" workbookViewId="0">
      <selection activeCell="A164" sqref="A164:XFD164"/>
    </sheetView>
  </sheetViews>
  <sheetFormatPr defaultRowHeight="14.25"/>
  <cols>
    <col min="1" max="1" width="24" customWidth="1"/>
    <col min="2" max="2" width="50" hidden="1" customWidth="1"/>
    <col min="3" max="11" width="14" customWidth="1"/>
  </cols>
  <sheetData>
    <row r="1" spans="1:11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>
      <c r="A2" s="4" t="s">
        <v>11</v>
      </c>
      <c r="B2" s="5" t="s">
        <v>12</v>
      </c>
      <c r="C2" s="3">
        <v>84</v>
      </c>
      <c r="D2" s="3">
        <v>93</v>
      </c>
      <c r="E2" s="3">
        <v>95</v>
      </c>
      <c r="F2" s="3">
        <v>82</v>
      </c>
      <c r="G2" s="3">
        <v>91</v>
      </c>
      <c r="H2" s="3">
        <v>77</v>
      </c>
      <c r="I2" s="3">
        <v>92</v>
      </c>
      <c r="J2" s="3">
        <v>80</v>
      </c>
      <c r="K2" s="3">
        <v>78</v>
      </c>
    </row>
    <row r="3" spans="1:11" ht="20.100000000000001" customHeight="1">
      <c r="A3" s="4" t="s">
        <v>13</v>
      </c>
      <c r="B3" s="5" t="s">
        <v>14</v>
      </c>
      <c r="C3" s="3">
        <v>85</v>
      </c>
      <c r="D3" s="3">
        <v>79</v>
      </c>
      <c r="E3" s="3">
        <v>80</v>
      </c>
      <c r="F3" s="3">
        <v>80</v>
      </c>
      <c r="G3" s="3">
        <v>64</v>
      </c>
      <c r="H3" s="3">
        <v>64</v>
      </c>
      <c r="I3" s="3">
        <v>78</v>
      </c>
      <c r="J3" s="3">
        <v>92</v>
      </c>
      <c r="K3" s="3">
        <v>69</v>
      </c>
    </row>
    <row r="4" spans="1:11" s="9" customFormat="1" ht="20.100000000000001" customHeight="1">
      <c r="A4" s="13" t="s">
        <v>15</v>
      </c>
      <c r="B4" s="14" t="s">
        <v>16</v>
      </c>
      <c r="C4" s="15">
        <v>77</v>
      </c>
      <c r="D4" s="15">
        <v>86</v>
      </c>
      <c r="E4" s="15">
        <v>80</v>
      </c>
      <c r="F4" s="15">
        <v>86</v>
      </c>
      <c r="G4" s="15">
        <v>74</v>
      </c>
      <c r="H4" s="15">
        <v>74</v>
      </c>
      <c r="I4" s="15">
        <v>80</v>
      </c>
      <c r="J4" s="15">
        <v>80</v>
      </c>
      <c r="K4" s="15">
        <v>69</v>
      </c>
    </row>
    <row r="5" spans="1:11" ht="20.100000000000001" customHeight="1">
      <c r="A5" s="4" t="s">
        <v>17</v>
      </c>
      <c r="B5" s="5" t="s">
        <v>18</v>
      </c>
      <c r="C5" s="3">
        <v>100</v>
      </c>
      <c r="D5" s="3">
        <v>100</v>
      </c>
      <c r="E5" s="3">
        <v>95</v>
      </c>
      <c r="F5" s="3">
        <v>81</v>
      </c>
      <c r="G5" s="3">
        <v>86</v>
      </c>
      <c r="H5" s="3">
        <v>79</v>
      </c>
      <c r="I5" s="3">
        <v>95</v>
      </c>
      <c r="J5" s="3">
        <v>64</v>
      </c>
      <c r="K5" s="3">
        <v>60</v>
      </c>
    </row>
    <row r="6" spans="1:11" ht="20.100000000000001" customHeight="1">
      <c r="A6" s="4" t="s">
        <v>19</v>
      </c>
      <c r="B6" s="5" t="s">
        <v>20</v>
      </c>
      <c r="C6" s="3">
        <v>90</v>
      </c>
      <c r="D6" s="3">
        <v>69</v>
      </c>
      <c r="E6" s="3">
        <v>99</v>
      </c>
      <c r="F6" s="3">
        <v>97</v>
      </c>
      <c r="G6" s="3">
        <v>93</v>
      </c>
      <c r="H6" s="3">
        <v>85</v>
      </c>
      <c r="I6" s="3">
        <v>100</v>
      </c>
      <c r="J6" s="3">
        <v>70</v>
      </c>
      <c r="K6" s="3">
        <v>70</v>
      </c>
    </row>
    <row r="7" spans="1:11" ht="20.100000000000001" customHeight="1">
      <c r="A7" s="13" t="s">
        <v>21</v>
      </c>
      <c r="B7" s="5" t="s">
        <v>22</v>
      </c>
      <c r="C7" s="3">
        <v>89</v>
      </c>
      <c r="D7" s="3">
        <v>67</v>
      </c>
      <c r="E7" s="3">
        <v>64</v>
      </c>
      <c r="F7" s="3">
        <v>99</v>
      </c>
      <c r="G7" s="3">
        <v>55</v>
      </c>
      <c r="H7" s="3">
        <v>56</v>
      </c>
      <c r="I7" s="3">
        <v>69</v>
      </c>
      <c r="J7" s="3">
        <v>80</v>
      </c>
      <c r="K7" s="3">
        <v>66</v>
      </c>
    </row>
    <row r="8" spans="1:11" ht="20.100000000000001" customHeight="1">
      <c r="A8" s="13" t="s">
        <v>23</v>
      </c>
      <c r="B8" s="5" t="s">
        <v>24</v>
      </c>
      <c r="C8" s="3">
        <v>83</v>
      </c>
      <c r="D8" s="3">
        <v>77</v>
      </c>
      <c r="E8" s="3">
        <v>86</v>
      </c>
      <c r="F8" s="3">
        <v>93</v>
      </c>
      <c r="G8" s="3">
        <v>83</v>
      </c>
      <c r="H8" s="3">
        <v>80</v>
      </c>
      <c r="I8" s="3">
        <v>80</v>
      </c>
      <c r="J8" s="3">
        <v>61</v>
      </c>
      <c r="K8" s="3">
        <v>63</v>
      </c>
    </row>
    <row r="9" spans="1:11" ht="20.100000000000001" customHeight="1">
      <c r="A9" s="4" t="s">
        <v>25</v>
      </c>
      <c r="B9" s="5" t="s">
        <v>26</v>
      </c>
      <c r="C9" s="3">
        <v>88</v>
      </c>
      <c r="D9" s="3">
        <v>80</v>
      </c>
      <c r="E9" s="3">
        <v>83</v>
      </c>
      <c r="F9" s="3">
        <v>93</v>
      </c>
      <c r="G9" s="3">
        <v>67</v>
      </c>
      <c r="H9" s="3">
        <v>69</v>
      </c>
      <c r="I9" s="3">
        <v>85</v>
      </c>
      <c r="J9" s="3">
        <v>63</v>
      </c>
      <c r="K9" s="3">
        <v>63</v>
      </c>
    </row>
    <row r="10" spans="1:11" ht="20.100000000000001" customHeight="1">
      <c r="A10" s="4" t="s">
        <v>27</v>
      </c>
      <c r="B10" s="5" t="s">
        <v>28</v>
      </c>
      <c r="C10" s="3">
        <v>90</v>
      </c>
      <c r="D10" s="3">
        <v>86</v>
      </c>
      <c r="E10" s="3">
        <v>89</v>
      </c>
      <c r="F10" s="3">
        <v>80</v>
      </c>
      <c r="G10" s="3">
        <v>74</v>
      </c>
      <c r="H10" s="3">
        <v>69</v>
      </c>
      <c r="I10" s="3">
        <v>80</v>
      </c>
      <c r="J10" s="3">
        <v>76</v>
      </c>
      <c r="K10" s="3">
        <v>84</v>
      </c>
    </row>
    <row r="11" spans="1:11" ht="20.100000000000001" customHeight="1">
      <c r="A11" s="4" t="s">
        <v>29</v>
      </c>
      <c r="B11" s="5" t="s">
        <v>30</v>
      </c>
      <c r="C11" s="3">
        <v>83</v>
      </c>
      <c r="D11" s="3">
        <v>77</v>
      </c>
      <c r="E11" s="3">
        <v>74</v>
      </c>
      <c r="F11" s="3">
        <v>77</v>
      </c>
      <c r="G11" s="3">
        <v>64</v>
      </c>
      <c r="H11" s="3">
        <v>71</v>
      </c>
      <c r="I11" s="3">
        <v>77</v>
      </c>
      <c r="J11" s="3">
        <v>74</v>
      </c>
      <c r="K11" s="3">
        <v>69</v>
      </c>
    </row>
    <row r="12" spans="1:11" ht="20.100000000000001" customHeight="1">
      <c r="A12" s="13" t="s">
        <v>31</v>
      </c>
      <c r="B12" s="5" t="s">
        <v>32</v>
      </c>
      <c r="C12" s="3">
        <v>83</v>
      </c>
      <c r="D12" s="3">
        <v>77</v>
      </c>
      <c r="E12" s="3">
        <v>77</v>
      </c>
      <c r="F12" s="3">
        <v>92</v>
      </c>
      <c r="G12" s="3">
        <v>69</v>
      </c>
      <c r="H12" s="3">
        <v>64</v>
      </c>
      <c r="I12" s="3">
        <v>80</v>
      </c>
      <c r="J12" s="3">
        <v>70</v>
      </c>
      <c r="K12" s="3">
        <v>63</v>
      </c>
    </row>
    <row r="13" spans="1:11" ht="20.100000000000001" customHeight="1">
      <c r="A13" s="4" t="s">
        <v>33</v>
      </c>
      <c r="B13" s="5" t="s">
        <v>34</v>
      </c>
      <c r="C13" s="3">
        <v>79</v>
      </c>
      <c r="D13" s="3">
        <v>72</v>
      </c>
      <c r="E13" s="3">
        <v>74</v>
      </c>
      <c r="F13" s="3">
        <v>94</v>
      </c>
      <c r="G13" s="3">
        <v>72</v>
      </c>
      <c r="H13" s="3">
        <v>78</v>
      </c>
      <c r="I13" s="3">
        <v>80</v>
      </c>
      <c r="J13" s="3">
        <v>83</v>
      </c>
      <c r="K13" s="3">
        <v>78</v>
      </c>
    </row>
    <row r="14" spans="1:11" ht="20.100000000000001" customHeight="1">
      <c r="A14" s="13" t="s">
        <v>35</v>
      </c>
      <c r="B14" s="5" t="s">
        <v>36</v>
      </c>
      <c r="C14" s="3">
        <v>74</v>
      </c>
      <c r="D14" s="3">
        <v>80</v>
      </c>
      <c r="E14" s="3">
        <v>63</v>
      </c>
      <c r="F14" s="3">
        <v>69</v>
      </c>
      <c r="G14" s="3">
        <v>67</v>
      </c>
      <c r="H14" s="3">
        <v>64</v>
      </c>
      <c r="I14" s="3">
        <v>74</v>
      </c>
      <c r="J14" s="3">
        <v>80</v>
      </c>
      <c r="K14" s="3">
        <v>84</v>
      </c>
    </row>
    <row r="15" spans="1:11" ht="20.100000000000001" customHeight="1">
      <c r="A15" s="4" t="s">
        <v>37</v>
      </c>
      <c r="B15" s="5" t="s">
        <v>38</v>
      </c>
      <c r="C15" s="3">
        <v>85</v>
      </c>
      <c r="D15" s="3">
        <v>95</v>
      </c>
      <c r="E15" s="3">
        <v>95</v>
      </c>
      <c r="F15" s="3">
        <v>88</v>
      </c>
      <c r="G15" s="3">
        <v>100</v>
      </c>
      <c r="H15" s="3">
        <v>95</v>
      </c>
      <c r="I15" s="3">
        <v>96</v>
      </c>
      <c r="J15" s="3">
        <v>80</v>
      </c>
      <c r="K15" s="3">
        <v>70</v>
      </c>
    </row>
    <row r="16" spans="1:11" ht="20.100000000000001" customHeight="1">
      <c r="A16" s="4" t="s">
        <v>39</v>
      </c>
      <c r="B16" s="5" t="s">
        <v>40</v>
      </c>
      <c r="C16" s="3">
        <v>85</v>
      </c>
      <c r="D16" s="3">
        <v>82</v>
      </c>
      <c r="E16" s="3">
        <v>90</v>
      </c>
      <c r="F16" s="3">
        <v>99</v>
      </c>
      <c r="G16" s="3">
        <v>95</v>
      </c>
      <c r="H16" s="3">
        <v>100</v>
      </c>
      <c r="I16" s="3">
        <v>99</v>
      </c>
      <c r="J16" s="3">
        <v>75</v>
      </c>
      <c r="K16" s="3">
        <v>66</v>
      </c>
    </row>
    <row r="17" spans="1:11" ht="20.100000000000001" customHeight="1">
      <c r="A17" s="4" t="s">
        <v>41</v>
      </c>
      <c r="B17" s="5" t="s">
        <v>42</v>
      </c>
      <c r="C17" s="3">
        <v>95</v>
      </c>
      <c r="D17" s="3">
        <v>90</v>
      </c>
      <c r="E17" s="3">
        <v>90</v>
      </c>
      <c r="F17" s="3">
        <v>78</v>
      </c>
      <c r="G17" s="3">
        <v>93</v>
      </c>
      <c r="H17" s="3">
        <v>86</v>
      </c>
      <c r="I17" s="3">
        <v>91</v>
      </c>
      <c r="J17" s="3">
        <v>86</v>
      </c>
      <c r="K17" s="3">
        <v>85</v>
      </c>
    </row>
    <row r="18" spans="1:11" ht="20.100000000000001" customHeight="1">
      <c r="A18" s="4" t="s">
        <v>43</v>
      </c>
      <c r="B18" s="5" t="s">
        <v>44</v>
      </c>
      <c r="C18" s="3">
        <v>100</v>
      </c>
      <c r="D18" s="3">
        <v>93</v>
      </c>
      <c r="E18" s="3">
        <v>76</v>
      </c>
      <c r="F18" s="3">
        <v>79</v>
      </c>
      <c r="G18" s="3">
        <v>92</v>
      </c>
      <c r="H18" s="3">
        <v>96</v>
      </c>
      <c r="I18" s="3">
        <v>94</v>
      </c>
      <c r="J18" s="3">
        <v>95</v>
      </c>
      <c r="K18" s="3">
        <v>92</v>
      </c>
    </row>
    <row r="19" spans="1:11" ht="20.100000000000001" customHeight="1">
      <c r="A19" s="4" t="s">
        <v>45</v>
      </c>
      <c r="B19" s="5" t="s">
        <v>46</v>
      </c>
      <c r="C19" s="3">
        <v>82</v>
      </c>
      <c r="D19" s="3">
        <v>99</v>
      </c>
      <c r="E19" s="3">
        <v>93</v>
      </c>
      <c r="F19" s="3">
        <v>83</v>
      </c>
      <c r="G19" s="3">
        <v>88</v>
      </c>
      <c r="H19" s="3">
        <v>80</v>
      </c>
      <c r="I19" s="3">
        <v>95</v>
      </c>
      <c r="J19" s="3">
        <v>88</v>
      </c>
      <c r="K19" s="3">
        <v>80</v>
      </c>
    </row>
    <row r="20" spans="1:11" ht="20.100000000000001" customHeight="1">
      <c r="A20" s="4" t="s">
        <v>47</v>
      </c>
      <c r="B20" s="5" t="s">
        <v>48</v>
      </c>
      <c r="C20" s="3">
        <v>87</v>
      </c>
      <c r="D20" s="3">
        <v>89</v>
      </c>
      <c r="E20" s="3">
        <v>95</v>
      </c>
      <c r="F20" s="3">
        <v>82</v>
      </c>
      <c r="G20" s="3">
        <v>86</v>
      </c>
      <c r="H20" s="3">
        <v>83</v>
      </c>
      <c r="I20" s="3">
        <v>86</v>
      </c>
      <c r="J20" s="3">
        <v>89</v>
      </c>
      <c r="K20" s="3">
        <v>85</v>
      </c>
    </row>
    <row r="21" spans="1:11" ht="20.100000000000001" customHeight="1">
      <c r="A21" s="4" t="s">
        <v>49</v>
      </c>
      <c r="B21" s="5" t="s">
        <v>50</v>
      </c>
      <c r="C21" s="3">
        <v>79</v>
      </c>
      <c r="D21" s="3">
        <v>90</v>
      </c>
      <c r="E21" s="3">
        <v>90</v>
      </c>
      <c r="F21" s="3">
        <v>85</v>
      </c>
      <c r="G21" s="3">
        <v>88</v>
      </c>
      <c r="H21" s="3">
        <v>87</v>
      </c>
      <c r="I21" s="3">
        <v>88</v>
      </c>
      <c r="J21" s="3">
        <v>86</v>
      </c>
      <c r="K21" s="3">
        <v>100</v>
      </c>
    </row>
    <row r="22" spans="1:11" ht="20.100000000000001" customHeight="1">
      <c r="A22" s="4" t="s">
        <v>51</v>
      </c>
      <c r="B22" s="5" t="s">
        <v>52</v>
      </c>
      <c r="C22" s="3">
        <v>93</v>
      </c>
      <c r="D22" s="3">
        <v>93</v>
      </c>
      <c r="E22" s="3">
        <v>100</v>
      </c>
      <c r="F22" s="3">
        <v>92</v>
      </c>
      <c r="G22" s="3">
        <v>97</v>
      </c>
      <c r="H22" s="3">
        <v>89</v>
      </c>
      <c r="I22" s="3">
        <v>100</v>
      </c>
      <c r="J22" s="3">
        <v>60</v>
      </c>
      <c r="K22" s="3">
        <v>64</v>
      </c>
    </row>
    <row r="23" spans="1:11" ht="20.100000000000001" customHeight="1">
      <c r="A23" s="4" t="s">
        <v>53</v>
      </c>
      <c r="B23" s="5" t="s">
        <v>54</v>
      </c>
      <c r="C23" s="3">
        <v>84</v>
      </c>
      <c r="D23" s="3">
        <v>76</v>
      </c>
      <c r="E23" s="3">
        <v>82</v>
      </c>
      <c r="F23" s="3">
        <v>86</v>
      </c>
      <c r="G23" s="3">
        <v>75</v>
      </c>
      <c r="H23" s="3">
        <v>74</v>
      </c>
      <c r="I23" s="3">
        <v>77</v>
      </c>
      <c r="J23" s="3">
        <v>100</v>
      </c>
      <c r="K23" s="3">
        <v>97</v>
      </c>
    </row>
    <row r="24" spans="1:11" ht="20.100000000000001" customHeight="1">
      <c r="A24" s="4" t="s">
        <v>55</v>
      </c>
      <c r="B24" s="5" t="s">
        <v>56</v>
      </c>
      <c r="C24" s="3">
        <v>96</v>
      </c>
      <c r="D24" s="3">
        <v>92</v>
      </c>
      <c r="E24" s="3">
        <v>93</v>
      </c>
      <c r="F24" s="3">
        <v>85</v>
      </c>
      <c r="G24" s="3">
        <v>88</v>
      </c>
      <c r="H24" s="3">
        <v>82</v>
      </c>
      <c r="I24" s="3">
        <v>94</v>
      </c>
      <c r="J24" s="3">
        <v>85</v>
      </c>
      <c r="K24" s="3">
        <v>80</v>
      </c>
    </row>
    <row r="25" spans="1:11" s="9" customFormat="1" ht="20.100000000000001" customHeight="1">
      <c r="A25" s="13" t="s">
        <v>57</v>
      </c>
      <c r="B25" s="14" t="s">
        <v>58</v>
      </c>
      <c r="C25" s="15">
        <v>83</v>
      </c>
      <c r="D25" s="15">
        <v>92</v>
      </c>
      <c r="E25" s="15">
        <v>78</v>
      </c>
      <c r="F25" s="15">
        <v>69</v>
      </c>
      <c r="G25" s="15">
        <v>67</v>
      </c>
      <c r="H25" s="15">
        <v>64</v>
      </c>
      <c r="I25" s="15">
        <v>80</v>
      </c>
      <c r="J25" s="15">
        <v>90</v>
      </c>
      <c r="K25" s="15">
        <v>87</v>
      </c>
    </row>
    <row r="26" spans="1:11" ht="20.100000000000001" customHeight="1">
      <c r="A26" s="4" t="s">
        <v>59</v>
      </c>
      <c r="B26" s="5" t="s">
        <v>60</v>
      </c>
      <c r="C26" s="3">
        <v>88</v>
      </c>
      <c r="D26" s="3">
        <v>90</v>
      </c>
      <c r="E26" s="3">
        <v>86</v>
      </c>
      <c r="F26" s="3">
        <v>82</v>
      </c>
      <c r="G26" s="3">
        <v>84</v>
      </c>
      <c r="H26" s="3">
        <v>88</v>
      </c>
      <c r="I26" s="3">
        <v>90</v>
      </c>
      <c r="J26" s="3">
        <v>100</v>
      </c>
      <c r="K26" s="3">
        <v>95</v>
      </c>
    </row>
    <row r="27" spans="1:11" s="9" customFormat="1" ht="20.100000000000001" customHeight="1">
      <c r="A27" s="13" t="s">
        <v>61</v>
      </c>
      <c r="B27" s="14" t="s">
        <v>62</v>
      </c>
      <c r="C27" s="15">
        <v>80</v>
      </c>
      <c r="D27" s="15">
        <v>74</v>
      </c>
      <c r="E27" s="15">
        <v>77</v>
      </c>
      <c r="F27" s="15">
        <v>77</v>
      </c>
      <c r="G27" s="15">
        <v>71</v>
      </c>
      <c r="H27" s="15">
        <v>71</v>
      </c>
      <c r="I27" s="15">
        <v>67</v>
      </c>
      <c r="J27" s="15">
        <v>73</v>
      </c>
      <c r="K27" s="15">
        <v>65</v>
      </c>
    </row>
    <row r="28" spans="1:11" s="9" customFormat="1" ht="20.100000000000001" customHeight="1">
      <c r="A28" s="13" t="s">
        <v>63</v>
      </c>
      <c r="B28" s="14" t="s">
        <v>64</v>
      </c>
      <c r="C28" s="15">
        <v>83</v>
      </c>
      <c r="D28" s="15">
        <v>80</v>
      </c>
      <c r="E28" s="15">
        <v>83</v>
      </c>
      <c r="F28" s="15">
        <v>80</v>
      </c>
      <c r="G28" s="15">
        <v>86</v>
      </c>
      <c r="H28" s="15">
        <v>86</v>
      </c>
      <c r="I28" s="15">
        <v>80</v>
      </c>
      <c r="J28" s="15">
        <v>64</v>
      </c>
      <c r="K28" s="15">
        <v>63</v>
      </c>
    </row>
    <row r="29" spans="1:11" ht="20.100000000000001" customHeight="1">
      <c r="A29" s="4" t="s">
        <v>65</v>
      </c>
      <c r="B29" s="5" t="s">
        <v>66</v>
      </c>
      <c r="C29" s="3">
        <v>85</v>
      </c>
      <c r="D29" s="3">
        <v>86</v>
      </c>
      <c r="E29" s="3">
        <v>88</v>
      </c>
      <c r="F29" s="3">
        <v>80</v>
      </c>
      <c r="G29" s="3">
        <v>82</v>
      </c>
      <c r="H29" s="3">
        <v>75</v>
      </c>
      <c r="I29" s="3">
        <v>83</v>
      </c>
      <c r="J29" s="3">
        <v>78</v>
      </c>
      <c r="K29" s="3">
        <v>86</v>
      </c>
    </row>
    <row r="30" spans="1:11" ht="20.100000000000001" customHeight="1">
      <c r="A30" s="4" t="s">
        <v>67</v>
      </c>
      <c r="B30" s="5" t="s">
        <v>68</v>
      </c>
      <c r="C30" s="3">
        <v>84</v>
      </c>
      <c r="D30" s="3">
        <v>86</v>
      </c>
      <c r="E30" s="3">
        <v>86</v>
      </c>
      <c r="F30" s="3">
        <v>85</v>
      </c>
      <c r="G30" s="3">
        <v>75</v>
      </c>
      <c r="H30" s="3">
        <v>77</v>
      </c>
      <c r="I30" s="3">
        <v>88</v>
      </c>
      <c r="J30" s="3">
        <v>83</v>
      </c>
      <c r="K30" s="3">
        <v>72</v>
      </c>
    </row>
    <row r="31" spans="1:11" s="9" customFormat="1" ht="20.100000000000001" customHeight="1">
      <c r="A31" s="13" t="s">
        <v>69</v>
      </c>
      <c r="B31" s="14" t="s">
        <v>70</v>
      </c>
      <c r="C31" s="15">
        <v>85</v>
      </c>
      <c r="D31" s="15">
        <v>86</v>
      </c>
      <c r="E31" s="15">
        <v>78</v>
      </c>
      <c r="F31" s="15">
        <v>73</v>
      </c>
      <c r="G31" s="15">
        <v>75</v>
      </c>
      <c r="H31" s="15">
        <v>70</v>
      </c>
      <c r="I31" s="15">
        <v>75</v>
      </c>
      <c r="J31" s="15">
        <v>82</v>
      </c>
      <c r="K31" s="15">
        <v>90</v>
      </c>
    </row>
    <row r="32" spans="1:11" s="9" customFormat="1" ht="20.100000000000001" customHeight="1">
      <c r="A32" s="13" t="s">
        <v>71</v>
      </c>
      <c r="B32" s="14" t="s">
        <v>72</v>
      </c>
      <c r="C32" s="15">
        <v>77</v>
      </c>
      <c r="D32" s="15">
        <v>80</v>
      </c>
      <c r="E32" s="15">
        <v>67</v>
      </c>
      <c r="F32" s="15">
        <v>71</v>
      </c>
      <c r="G32" s="15">
        <v>67</v>
      </c>
      <c r="H32" s="15">
        <v>69</v>
      </c>
      <c r="I32" s="15">
        <v>67</v>
      </c>
      <c r="J32" s="15">
        <v>71</v>
      </c>
      <c r="K32" s="15">
        <v>69</v>
      </c>
    </row>
    <row r="33" spans="1:11" s="9" customFormat="1" ht="20.100000000000001" customHeight="1">
      <c r="A33" s="13" t="s">
        <v>73</v>
      </c>
      <c r="B33" s="14" t="s">
        <v>74</v>
      </c>
      <c r="C33" s="15">
        <v>74</v>
      </c>
      <c r="D33" s="15">
        <v>83</v>
      </c>
      <c r="E33" s="15">
        <v>80</v>
      </c>
      <c r="F33" s="15">
        <v>74</v>
      </c>
      <c r="G33" s="15">
        <v>86</v>
      </c>
      <c r="H33" s="15">
        <v>83</v>
      </c>
      <c r="I33" s="15">
        <v>80</v>
      </c>
      <c r="J33" s="15">
        <v>71</v>
      </c>
      <c r="K33" s="15">
        <v>61</v>
      </c>
    </row>
    <row r="34" spans="1:11" ht="20.100000000000001" customHeight="1">
      <c r="A34" s="4" t="s">
        <v>75</v>
      </c>
      <c r="B34" s="5" t="s">
        <v>76</v>
      </c>
      <c r="C34" s="3">
        <v>83</v>
      </c>
      <c r="D34" s="3">
        <v>79</v>
      </c>
      <c r="E34" s="3">
        <v>74</v>
      </c>
      <c r="F34" s="3">
        <v>81</v>
      </c>
      <c r="G34" s="3">
        <v>72</v>
      </c>
      <c r="H34" s="3">
        <v>78</v>
      </c>
      <c r="I34" s="3">
        <v>74</v>
      </c>
      <c r="J34" s="3">
        <v>91</v>
      </c>
      <c r="K34" s="3">
        <v>90</v>
      </c>
    </row>
    <row r="35" spans="1:11" s="9" customFormat="1" ht="20.100000000000001" customHeight="1">
      <c r="A35" s="13" t="s">
        <v>77</v>
      </c>
      <c r="B35" s="14" t="s">
        <v>78</v>
      </c>
      <c r="C35" s="15">
        <v>74</v>
      </c>
      <c r="D35" s="15">
        <v>80</v>
      </c>
      <c r="E35" s="15">
        <v>80</v>
      </c>
      <c r="F35" s="15">
        <v>77</v>
      </c>
      <c r="G35" s="15">
        <v>80</v>
      </c>
      <c r="H35" s="15">
        <v>74</v>
      </c>
      <c r="I35" s="15">
        <v>77</v>
      </c>
      <c r="J35" s="15">
        <v>75</v>
      </c>
      <c r="K35" s="15">
        <v>62</v>
      </c>
    </row>
    <row r="36" spans="1:11" s="9" customFormat="1" ht="20.100000000000001" customHeight="1">
      <c r="A36" s="13" t="s">
        <v>79</v>
      </c>
      <c r="B36" s="14" t="s">
        <v>80</v>
      </c>
      <c r="C36" s="15">
        <v>80</v>
      </c>
      <c r="D36" s="15">
        <v>93</v>
      </c>
      <c r="E36" s="15">
        <v>77</v>
      </c>
      <c r="F36" s="15">
        <v>77</v>
      </c>
      <c r="G36" s="15">
        <v>67</v>
      </c>
      <c r="H36" s="15">
        <v>64</v>
      </c>
      <c r="I36" s="15">
        <v>71</v>
      </c>
      <c r="J36" s="15">
        <v>70</v>
      </c>
      <c r="K36" s="15">
        <v>73</v>
      </c>
    </row>
    <row r="37" spans="1:11" s="9" customFormat="1" ht="20.100000000000001" customHeight="1">
      <c r="A37" s="13" t="s">
        <v>81</v>
      </c>
      <c r="B37" s="14" t="s">
        <v>82</v>
      </c>
      <c r="C37" s="15">
        <v>77</v>
      </c>
      <c r="D37" s="15">
        <v>80</v>
      </c>
      <c r="E37" s="15">
        <v>77</v>
      </c>
      <c r="F37" s="15">
        <v>77</v>
      </c>
      <c r="G37" s="15">
        <v>69</v>
      </c>
      <c r="H37" s="15">
        <v>74</v>
      </c>
      <c r="I37" s="15">
        <v>71</v>
      </c>
      <c r="J37" s="15">
        <v>76</v>
      </c>
      <c r="K37" s="15">
        <v>70</v>
      </c>
    </row>
    <row r="38" spans="1:11" ht="20.100000000000001" customHeight="1">
      <c r="A38" s="4" t="s">
        <v>83</v>
      </c>
      <c r="B38" s="5" t="s">
        <v>84</v>
      </c>
      <c r="C38" s="3">
        <v>81</v>
      </c>
      <c r="D38" s="3">
        <v>84</v>
      </c>
      <c r="E38" s="3">
        <v>89</v>
      </c>
      <c r="F38" s="3">
        <v>81</v>
      </c>
      <c r="G38" s="3">
        <v>88</v>
      </c>
      <c r="H38" s="3">
        <v>84</v>
      </c>
      <c r="I38" s="3">
        <v>88</v>
      </c>
      <c r="J38" s="3">
        <v>80</v>
      </c>
      <c r="K38" s="3">
        <v>87</v>
      </c>
    </row>
    <row r="39" spans="1:11" ht="20.100000000000001" customHeight="1">
      <c r="A39" s="4" t="s">
        <v>85</v>
      </c>
      <c r="B39" s="5" t="s">
        <v>86</v>
      </c>
      <c r="C39" s="3">
        <v>86</v>
      </c>
      <c r="D39" s="3">
        <v>86</v>
      </c>
      <c r="E39" s="3">
        <v>80</v>
      </c>
      <c r="F39" s="3">
        <v>77</v>
      </c>
      <c r="G39" s="3">
        <v>77</v>
      </c>
      <c r="H39" s="3">
        <v>69</v>
      </c>
      <c r="I39" s="3">
        <v>71</v>
      </c>
      <c r="J39" s="3">
        <v>74</v>
      </c>
      <c r="K39" s="3">
        <v>74</v>
      </c>
    </row>
    <row r="40" spans="1:11" s="9" customFormat="1" ht="20.100000000000001" customHeight="1">
      <c r="A40" s="13" t="s">
        <v>87</v>
      </c>
      <c r="B40" s="14" t="s">
        <v>88</v>
      </c>
      <c r="C40" s="15">
        <v>77</v>
      </c>
      <c r="D40" s="15">
        <v>80</v>
      </c>
      <c r="E40" s="15">
        <v>71</v>
      </c>
      <c r="F40" s="15">
        <v>77</v>
      </c>
      <c r="G40" s="15">
        <v>74</v>
      </c>
      <c r="H40" s="15">
        <v>71</v>
      </c>
      <c r="I40" s="15">
        <v>69</v>
      </c>
      <c r="J40" s="15">
        <v>76</v>
      </c>
      <c r="K40" s="15">
        <v>77</v>
      </c>
    </row>
    <row r="41" spans="1:11" s="9" customFormat="1" ht="20.100000000000001" customHeight="1">
      <c r="A41" s="13" t="s">
        <v>89</v>
      </c>
      <c r="B41" s="14" t="s">
        <v>90</v>
      </c>
      <c r="C41" s="15">
        <v>88</v>
      </c>
      <c r="D41" s="15">
        <v>90</v>
      </c>
      <c r="E41" s="15">
        <v>76</v>
      </c>
      <c r="F41" s="15">
        <v>81</v>
      </c>
      <c r="G41" s="15">
        <v>68</v>
      </c>
      <c r="H41" s="15">
        <v>69</v>
      </c>
      <c r="I41" s="15">
        <v>81</v>
      </c>
      <c r="J41" s="15">
        <v>90</v>
      </c>
      <c r="K41" s="15">
        <v>82</v>
      </c>
    </row>
    <row r="42" spans="1:11" s="9" customFormat="1" ht="20.100000000000001" customHeight="1">
      <c r="A42" s="13" t="s">
        <v>91</v>
      </c>
      <c r="B42" s="14" t="s">
        <v>92</v>
      </c>
      <c r="C42" s="15">
        <v>77</v>
      </c>
      <c r="D42" s="15">
        <v>77</v>
      </c>
      <c r="E42" s="15">
        <v>69</v>
      </c>
      <c r="F42" s="15">
        <v>77</v>
      </c>
      <c r="G42" s="15">
        <v>61</v>
      </c>
      <c r="H42" s="15">
        <v>64</v>
      </c>
      <c r="I42" s="15">
        <v>67</v>
      </c>
      <c r="J42" s="15">
        <v>77</v>
      </c>
      <c r="K42" s="15">
        <v>77</v>
      </c>
    </row>
    <row r="43" spans="1:11" s="9" customFormat="1" ht="20.100000000000001" customHeight="1">
      <c r="A43" s="13" t="s">
        <v>93</v>
      </c>
      <c r="B43" s="14" t="s">
        <v>94</v>
      </c>
      <c r="C43" s="15">
        <v>74</v>
      </c>
      <c r="D43" s="15">
        <v>77</v>
      </c>
      <c r="E43" s="15">
        <v>74</v>
      </c>
      <c r="F43" s="15">
        <v>80</v>
      </c>
      <c r="G43" s="15">
        <v>71</v>
      </c>
      <c r="H43" s="15">
        <v>71</v>
      </c>
      <c r="I43" s="15">
        <v>69</v>
      </c>
      <c r="J43" s="15">
        <v>72</v>
      </c>
      <c r="K43" s="15">
        <v>76</v>
      </c>
    </row>
    <row r="44" spans="1:11" s="9" customFormat="1" ht="20.100000000000001" customHeight="1">
      <c r="A44" s="13" t="s">
        <v>95</v>
      </c>
      <c r="B44" s="14" t="s">
        <v>96</v>
      </c>
      <c r="C44" s="15">
        <v>93</v>
      </c>
      <c r="D44" s="15">
        <v>83</v>
      </c>
      <c r="E44" s="15">
        <v>80</v>
      </c>
      <c r="F44" s="15">
        <v>86</v>
      </c>
      <c r="G44" s="15">
        <v>77</v>
      </c>
      <c r="H44" s="15">
        <v>80</v>
      </c>
      <c r="I44" s="15">
        <v>77</v>
      </c>
      <c r="J44" s="15">
        <v>80</v>
      </c>
      <c r="K44" s="15">
        <v>65</v>
      </c>
    </row>
    <row r="45" spans="1:11" ht="20.100000000000001" customHeight="1">
      <c r="A45" s="4" t="s">
        <v>97</v>
      </c>
      <c r="B45" s="5" t="s">
        <v>98</v>
      </c>
      <c r="C45" s="3">
        <v>74</v>
      </c>
      <c r="D45" s="3">
        <v>77</v>
      </c>
      <c r="E45" s="3">
        <v>89</v>
      </c>
      <c r="F45" s="3">
        <v>89</v>
      </c>
      <c r="G45" s="3">
        <v>83</v>
      </c>
      <c r="H45" s="3">
        <v>93</v>
      </c>
      <c r="I45" s="3">
        <v>83</v>
      </c>
      <c r="J45" s="3">
        <v>65</v>
      </c>
      <c r="K45" s="3">
        <v>57</v>
      </c>
    </row>
    <row r="46" spans="1:11" ht="20.100000000000001" customHeight="1">
      <c r="A46" s="4" t="s">
        <v>99</v>
      </c>
      <c r="B46" s="5" t="s">
        <v>100</v>
      </c>
      <c r="C46" s="3">
        <v>83</v>
      </c>
      <c r="D46" s="3">
        <v>97</v>
      </c>
      <c r="E46" s="3">
        <v>88</v>
      </c>
      <c r="F46" s="3">
        <v>70</v>
      </c>
      <c r="G46" s="3">
        <v>85</v>
      </c>
      <c r="H46" s="3">
        <v>71</v>
      </c>
      <c r="I46" s="3">
        <v>88</v>
      </c>
      <c r="J46" s="3">
        <v>85</v>
      </c>
      <c r="K46" s="3">
        <v>73</v>
      </c>
    </row>
    <row r="47" spans="1:11" ht="20.100000000000001" customHeight="1">
      <c r="A47" s="4" t="s">
        <v>101</v>
      </c>
      <c r="B47" s="5" t="s">
        <v>102</v>
      </c>
      <c r="C47" s="3">
        <v>83</v>
      </c>
      <c r="D47" s="3">
        <v>80</v>
      </c>
      <c r="E47" s="3">
        <v>83</v>
      </c>
      <c r="F47" s="3">
        <v>80</v>
      </c>
      <c r="G47" s="3">
        <v>83</v>
      </c>
      <c r="H47" s="3">
        <v>83</v>
      </c>
      <c r="I47" s="3">
        <v>83</v>
      </c>
      <c r="J47" s="3">
        <v>66</v>
      </c>
      <c r="K47" s="3">
        <v>68</v>
      </c>
    </row>
    <row r="48" spans="1:11" ht="20.100000000000001" customHeight="1">
      <c r="A48" s="4" t="s">
        <v>103</v>
      </c>
      <c r="B48" s="5" t="s">
        <v>104</v>
      </c>
      <c r="C48" s="3">
        <v>92</v>
      </c>
      <c r="D48" s="3">
        <v>92</v>
      </c>
      <c r="E48" s="3">
        <v>91</v>
      </c>
      <c r="F48" s="3">
        <v>77</v>
      </c>
      <c r="G48" s="3">
        <v>83</v>
      </c>
      <c r="H48" s="3">
        <v>78</v>
      </c>
      <c r="I48" s="3">
        <v>87</v>
      </c>
      <c r="J48" s="3">
        <v>78</v>
      </c>
      <c r="K48" s="3">
        <v>86</v>
      </c>
    </row>
    <row r="49" spans="1:11" ht="20.100000000000001" customHeight="1">
      <c r="A49" s="4" t="s">
        <v>105</v>
      </c>
      <c r="B49" s="5" t="s">
        <v>106</v>
      </c>
      <c r="C49" s="3">
        <v>86</v>
      </c>
      <c r="D49" s="3">
        <v>99</v>
      </c>
      <c r="E49" s="3">
        <v>96</v>
      </c>
      <c r="F49" s="3">
        <v>75</v>
      </c>
      <c r="G49" s="3">
        <v>91</v>
      </c>
      <c r="H49" s="3">
        <v>80</v>
      </c>
      <c r="I49" s="3">
        <v>96</v>
      </c>
      <c r="J49" s="3">
        <v>88</v>
      </c>
      <c r="K49" s="3">
        <v>91</v>
      </c>
    </row>
    <row r="50" spans="1:11" ht="20.100000000000001" customHeight="1">
      <c r="A50" s="4" t="s">
        <v>107</v>
      </c>
      <c r="B50" s="5" t="s">
        <v>108</v>
      </c>
      <c r="C50" s="3">
        <v>86</v>
      </c>
      <c r="D50" s="3">
        <v>99</v>
      </c>
      <c r="E50" s="3">
        <v>79</v>
      </c>
      <c r="F50" s="3">
        <v>73</v>
      </c>
      <c r="G50" s="3">
        <v>77</v>
      </c>
      <c r="H50" s="3">
        <v>72</v>
      </c>
      <c r="I50" s="3">
        <v>82</v>
      </c>
      <c r="J50" s="3">
        <v>88</v>
      </c>
      <c r="K50" s="3">
        <v>77</v>
      </c>
    </row>
    <row r="51" spans="1:11" ht="20.100000000000001" customHeight="1">
      <c r="A51" s="4" t="s">
        <v>109</v>
      </c>
      <c r="B51" s="5" t="s">
        <v>110</v>
      </c>
      <c r="C51" s="3">
        <v>74</v>
      </c>
      <c r="D51" s="3">
        <v>67</v>
      </c>
      <c r="E51" s="3">
        <v>86</v>
      </c>
      <c r="F51" s="3">
        <v>83</v>
      </c>
      <c r="G51" s="3">
        <v>80</v>
      </c>
      <c r="H51" s="3">
        <v>77</v>
      </c>
      <c r="I51" s="3">
        <v>80</v>
      </c>
      <c r="J51" s="3">
        <v>69</v>
      </c>
      <c r="K51" s="3">
        <v>60</v>
      </c>
    </row>
    <row r="52" spans="1:11" ht="20.100000000000001" customHeight="1">
      <c r="A52" s="4" t="s">
        <v>111</v>
      </c>
      <c r="B52" s="5" t="s">
        <v>112</v>
      </c>
      <c r="C52" s="3">
        <v>82</v>
      </c>
      <c r="D52" s="3">
        <v>89</v>
      </c>
      <c r="E52" s="3">
        <v>95</v>
      </c>
      <c r="F52" s="3">
        <v>83</v>
      </c>
      <c r="G52" s="3">
        <v>100</v>
      </c>
      <c r="H52" s="3">
        <v>95</v>
      </c>
      <c r="I52" s="3">
        <v>97</v>
      </c>
      <c r="J52" s="3">
        <v>75</v>
      </c>
      <c r="K52" s="3">
        <v>65</v>
      </c>
    </row>
    <row r="53" spans="1:11" ht="20.100000000000001" customHeight="1">
      <c r="A53" s="4" t="s">
        <v>113</v>
      </c>
      <c r="B53" s="5" t="s">
        <v>114</v>
      </c>
      <c r="C53" s="3">
        <v>89</v>
      </c>
      <c r="D53" s="3">
        <v>83</v>
      </c>
      <c r="E53" s="3">
        <v>77</v>
      </c>
      <c r="F53" s="3">
        <v>80</v>
      </c>
      <c r="G53" s="3">
        <v>86</v>
      </c>
      <c r="H53" s="3">
        <v>86</v>
      </c>
      <c r="I53" s="3">
        <v>80</v>
      </c>
      <c r="J53" s="3">
        <v>74</v>
      </c>
      <c r="K53" s="3">
        <v>76</v>
      </c>
    </row>
    <row r="54" spans="1:11" s="9" customFormat="1" ht="20.100000000000001" customHeight="1">
      <c r="A54" s="13" t="s">
        <v>115</v>
      </c>
      <c r="B54" s="14" t="s">
        <v>116</v>
      </c>
      <c r="C54" s="15">
        <v>92</v>
      </c>
      <c r="D54" s="15">
        <v>88</v>
      </c>
      <c r="E54" s="15">
        <v>92</v>
      </c>
      <c r="F54" s="15">
        <v>90</v>
      </c>
      <c r="G54" s="15">
        <v>75</v>
      </c>
      <c r="H54" s="15">
        <v>74</v>
      </c>
      <c r="I54" s="15">
        <v>84</v>
      </c>
      <c r="J54" s="15">
        <v>84</v>
      </c>
      <c r="K54" s="15">
        <v>88</v>
      </c>
    </row>
    <row r="55" spans="1:11" ht="20.100000000000001" customHeight="1">
      <c r="A55" s="4" t="s">
        <v>117</v>
      </c>
      <c r="B55" s="5" t="s">
        <v>118</v>
      </c>
      <c r="C55" s="3">
        <v>82</v>
      </c>
      <c r="D55" s="3">
        <v>93</v>
      </c>
      <c r="E55" s="3">
        <v>91</v>
      </c>
      <c r="F55" s="3">
        <v>83</v>
      </c>
      <c r="G55" s="3">
        <v>92</v>
      </c>
      <c r="H55" s="3">
        <v>85</v>
      </c>
      <c r="I55" s="3">
        <v>93</v>
      </c>
      <c r="J55" s="3">
        <v>84</v>
      </c>
      <c r="K55" s="3">
        <v>82</v>
      </c>
    </row>
    <row r="56" spans="1:11" ht="20.100000000000001" customHeight="1">
      <c r="A56" s="4" t="s">
        <v>119</v>
      </c>
      <c r="B56" s="5" t="s">
        <v>120</v>
      </c>
      <c r="C56" s="3">
        <v>86</v>
      </c>
      <c r="D56" s="3">
        <v>69</v>
      </c>
      <c r="E56" s="3">
        <v>93</v>
      </c>
      <c r="F56" s="3">
        <v>86</v>
      </c>
      <c r="G56" s="3">
        <v>83</v>
      </c>
      <c r="H56" s="3">
        <v>71</v>
      </c>
      <c r="I56" s="3">
        <v>83</v>
      </c>
      <c r="J56" s="3">
        <v>79</v>
      </c>
      <c r="K56" s="3">
        <v>82</v>
      </c>
    </row>
    <row r="57" spans="1:11" s="9" customFormat="1" ht="20.100000000000001" customHeight="1">
      <c r="A57" s="13" t="s">
        <v>121</v>
      </c>
      <c r="B57" s="14" t="s">
        <v>122</v>
      </c>
      <c r="C57" s="15">
        <v>80</v>
      </c>
      <c r="D57" s="15">
        <v>78</v>
      </c>
      <c r="E57" s="15">
        <v>79</v>
      </c>
      <c r="F57" s="15">
        <v>81</v>
      </c>
      <c r="G57" s="15">
        <v>76</v>
      </c>
      <c r="H57" s="15">
        <v>76</v>
      </c>
      <c r="I57" s="15">
        <v>76</v>
      </c>
      <c r="J57" s="15">
        <v>91</v>
      </c>
      <c r="K57" s="15">
        <v>93</v>
      </c>
    </row>
    <row r="58" spans="1:11" ht="20.100000000000001" customHeight="1">
      <c r="A58" s="4" t="s">
        <v>123</v>
      </c>
      <c r="B58" s="5" t="s">
        <v>124</v>
      </c>
      <c r="C58" s="3">
        <v>83</v>
      </c>
      <c r="D58" s="3">
        <v>83</v>
      </c>
      <c r="E58" s="3">
        <v>86</v>
      </c>
      <c r="F58" s="3">
        <v>74</v>
      </c>
      <c r="G58" s="3">
        <v>96</v>
      </c>
      <c r="H58" s="3">
        <v>86</v>
      </c>
      <c r="I58" s="3">
        <v>89</v>
      </c>
      <c r="J58" s="3">
        <v>65</v>
      </c>
      <c r="K58" s="3">
        <v>70</v>
      </c>
    </row>
    <row r="59" spans="1:11" s="9" customFormat="1" ht="20.100000000000001" customHeight="1">
      <c r="A59" s="13" t="s">
        <v>125</v>
      </c>
      <c r="B59" s="14" t="s">
        <v>126</v>
      </c>
      <c r="C59" s="15">
        <v>82</v>
      </c>
      <c r="D59" s="15">
        <v>86</v>
      </c>
      <c r="E59" s="15">
        <v>74</v>
      </c>
      <c r="F59" s="15">
        <v>79</v>
      </c>
      <c r="G59" s="15">
        <v>64</v>
      </c>
      <c r="H59" s="15">
        <v>71</v>
      </c>
      <c r="I59" s="15">
        <v>76</v>
      </c>
      <c r="J59" s="15">
        <v>91</v>
      </c>
      <c r="K59" s="15">
        <v>85</v>
      </c>
    </row>
    <row r="60" spans="1:11" ht="20.100000000000001" customHeight="1">
      <c r="A60" s="4" t="s">
        <v>127</v>
      </c>
      <c r="B60" s="5" t="s">
        <v>128</v>
      </c>
      <c r="C60" s="3">
        <v>99</v>
      </c>
      <c r="D60" s="3">
        <v>83</v>
      </c>
      <c r="E60" s="3">
        <v>80</v>
      </c>
      <c r="F60" s="3">
        <v>89</v>
      </c>
      <c r="G60" s="3">
        <v>69</v>
      </c>
      <c r="H60" s="3">
        <v>69</v>
      </c>
      <c r="I60" s="3">
        <v>69</v>
      </c>
      <c r="J60" s="3">
        <v>71</v>
      </c>
      <c r="K60" s="3">
        <v>83</v>
      </c>
    </row>
    <row r="61" spans="1:11" s="9" customFormat="1" ht="20.100000000000001" customHeight="1">
      <c r="A61" s="13" t="s">
        <v>129</v>
      </c>
      <c r="B61" s="14" t="s">
        <v>130</v>
      </c>
      <c r="C61" s="15">
        <v>96</v>
      </c>
      <c r="D61" s="15">
        <v>79</v>
      </c>
      <c r="E61" s="15">
        <v>76</v>
      </c>
      <c r="F61" s="15">
        <v>77</v>
      </c>
      <c r="G61" s="15">
        <v>64</v>
      </c>
      <c r="H61" s="15">
        <v>66</v>
      </c>
      <c r="I61" s="15">
        <v>77</v>
      </c>
      <c r="J61" s="15">
        <v>77</v>
      </c>
      <c r="K61" s="15">
        <v>95</v>
      </c>
    </row>
    <row r="62" spans="1:11" ht="20.100000000000001" customHeight="1">
      <c r="A62" s="4" t="s">
        <v>131</v>
      </c>
      <c r="B62" s="5" t="s">
        <v>132</v>
      </c>
      <c r="C62" s="3">
        <v>88</v>
      </c>
      <c r="D62" s="3">
        <v>84</v>
      </c>
      <c r="E62" s="3">
        <v>88</v>
      </c>
      <c r="F62" s="3">
        <v>86</v>
      </c>
      <c r="G62" s="3">
        <v>86</v>
      </c>
      <c r="H62" s="3">
        <v>85</v>
      </c>
      <c r="I62" s="3">
        <v>85</v>
      </c>
      <c r="J62" s="3">
        <v>85</v>
      </c>
      <c r="K62" s="3">
        <v>89</v>
      </c>
    </row>
    <row r="63" spans="1:11" ht="20.100000000000001" customHeight="1">
      <c r="A63" s="4" t="s">
        <v>133</v>
      </c>
      <c r="B63" s="5" t="s">
        <v>134</v>
      </c>
      <c r="C63" s="3">
        <v>87</v>
      </c>
      <c r="D63" s="3">
        <v>94</v>
      </c>
      <c r="E63" s="3">
        <v>85</v>
      </c>
      <c r="F63" s="3">
        <v>75</v>
      </c>
      <c r="G63" s="3">
        <v>76</v>
      </c>
      <c r="H63" s="3">
        <v>70</v>
      </c>
      <c r="I63" s="3">
        <v>87</v>
      </c>
      <c r="J63" s="3">
        <v>77</v>
      </c>
      <c r="K63" s="3">
        <v>71</v>
      </c>
    </row>
    <row r="64" spans="1:11" ht="20.100000000000001" customHeight="1">
      <c r="A64" s="4" t="s">
        <v>135</v>
      </c>
      <c r="B64" s="5" t="s">
        <v>136</v>
      </c>
      <c r="C64" s="3">
        <v>86</v>
      </c>
      <c r="D64" s="3">
        <v>95</v>
      </c>
      <c r="E64" s="3">
        <v>82</v>
      </c>
      <c r="F64" s="3">
        <v>84</v>
      </c>
      <c r="G64" s="3">
        <v>74</v>
      </c>
      <c r="H64" s="3">
        <v>74</v>
      </c>
      <c r="I64" s="3">
        <v>79</v>
      </c>
      <c r="J64" s="3">
        <v>92</v>
      </c>
      <c r="K64" s="3">
        <v>73</v>
      </c>
    </row>
    <row r="65" spans="1:11" ht="20.100000000000001" customHeight="1">
      <c r="A65" s="4" t="s">
        <v>137</v>
      </c>
      <c r="B65" s="5" t="s">
        <v>138</v>
      </c>
      <c r="C65" s="3">
        <v>69</v>
      </c>
      <c r="D65" s="3">
        <v>80</v>
      </c>
      <c r="E65" s="3">
        <v>67</v>
      </c>
      <c r="F65" s="3">
        <v>74</v>
      </c>
      <c r="G65" s="3">
        <v>63</v>
      </c>
      <c r="H65" s="3">
        <v>69</v>
      </c>
      <c r="I65" s="3">
        <v>63</v>
      </c>
      <c r="J65" s="3">
        <v>86</v>
      </c>
      <c r="K65" s="3">
        <v>81</v>
      </c>
    </row>
    <row r="66" spans="1:11" s="9" customFormat="1" ht="20.100000000000001" customHeight="1">
      <c r="A66" s="13" t="s">
        <v>139</v>
      </c>
      <c r="B66" s="14" t="s">
        <v>140</v>
      </c>
      <c r="C66" s="15">
        <v>74</v>
      </c>
      <c r="D66" s="15">
        <v>71</v>
      </c>
      <c r="E66" s="15">
        <v>74</v>
      </c>
      <c r="F66" s="15">
        <v>74</v>
      </c>
      <c r="G66" s="15">
        <v>80</v>
      </c>
      <c r="H66" s="15">
        <v>80</v>
      </c>
      <c r="I66" s="15">
        <v>74</v>
      </c>
      <c r="J66" s="15">
        <v>69</v>
      </c>
      <c r="K66" s="15">
        <v>71</v>
      </c>
    </row>
    <row r="67" spans="1:11" s="9" customFormat="1" ht="20.100000000000001" customHeight="1">
      <c r="A67" s="13" t="s">
        <v>141</v>
      </c>
      <c r="B67" s="14" t="s">
        <v>142</v>
      </c>
      <c r="C67" s="15">
        <v>83</v>
      </c>
      <c r="D67" s="15">
        <v>86</v>
      </c>
      <c r="E67" s="15">
        <v>75</v>
      </c>
      <c r="F67" s="15">
        <v>69</v>
      </c>
      <c r="G67" s="15">
        <v>70</v>
      </c>
      <c r="H67" s="15">
        <v>67</v>
      </c>
      <c r="I67" s="15">
        <v>74</v>
      </c>
      <c r="J67" s="15">
        <v>83</v>
      </c>
      <c r="K67" s="15">
        <v>81</v>
      </c>
    </row>
    <row r="68" spans="1:11" s="9" customFormat="1" ht="20.100000000000001" customHeight="1">
      <c r="A68" s="13" t="s">
        <v>143</v>
      </c>
      <c r="B68" s="14" t="s">
        <v>144</v>
      </c>
      <c r="C68" s="15">
        <v>83</v>
      </c>
      <c r="D68" s="15">
        <v>77</v>
      </c>
      <c r="E68" s="15">
        <v>77</v>
      </c>
      <c r="F68" s="15">
        <v>74</v>
      </c>
      <c r="G68" s="15">
        <v>63</v>
      </c>
      <c r="H68" s="15">
        <v>61</v>
      </c>
      <c r="I68" s="15">
        <v>71</v>
      </c>
      <c r="J68" s="15">
        <v>68</v>
      </c>
      <c r="K68" s="15">
        <v>67</v>
      </c>
    </row>
    <row r="69" spans="1:11" s="9" customFormat="1" ht="20.100000000000001" customHeight="1">
      <c r="A69" s="13" t="s">
        <v>145</v>
      </c>
      <c r="B69" s="14" t="s">
        <v>146</v>
      </c>
      <c r="C69" s="15">
        <v>86</v>
      </c>
      <c r="D69" s="15">
        <v>99</v>
      </c>
      <c r="E69" s="15">
        <v>93</v>
      </c>
      <c r="F69" s="15">
        <v>78</v>
      </c>
      <c r="G69" s="15">
        <v>91</v>
      </c>
      <c r="H69" s="15">
        <v>81</v>
      </c>
      <c r="I69" s="15">
        <v>90</v>
      </c>
      <c r="J69" s="15">
        <v>74</v>
      </c>
      <c r="K69" s="15">
        <v>71</v>
      </c>
    </row>
    <row r="70" spans="1:11" s="9" customFormat="1" ht="20.100000000000001" customHeight="1">
      <c r="A70" s="13" t="s">
        <v>147</v>
      </c>
      <c r="B70" s="14" t="s">
        <v>148</v>
      </c>
      <c r="C70" s="15">
        <v>77</v>
      </c>
      <c r="D70" s="15">
        <v>77</v>
      </c>
      <c r="E70" s="15">
        <v>74</v>
      </c>
      <c r="F70" s="15">
        <v>71</v>
      </c>
      <c r="G70" s="15">
        <v>69</v>
      </c>
      <c r="H70" s="15">
        <v>67</v>
      </c>
      <c r="I70" s="15">
        <v>67</v>
      </c>
      <c r="J70" s="15">
        <v>73</v>
      </c>
      <c r="K70" s="15">
        <v>76</v>
      </c>
    </row>
    <row r="71" spans="1:11" ht="20.100000000000001" customHeight="1">
      <c r="A71" s="4" t="s">
        <v>149</v>
      </c>
      <c r="B71" s="5" t="s">
        <v>150</v>
      </c>
      <c r="C71" s="3">
        <v>75</v>
      </c>
      <c r="D71" s="3">
        <v>75</v>
      </c>
      <c r="E71" s="3">
        <v>65</v>
      </c>
      <c r="F71" s="3">
        <v>78</v>
      </c>
      <c r="G71" s="3">
        <v>59</v>
      </c>
      <c r="H71" s="3">
        <v>61</v>
      </c>
      <c r="I71" s="3">
        <v>67</v>
      </c>
      <c r="J71" s="3">
        <v>85</v>
      </c>
      <c r="K71" s="3">
        <v>96</v>
      </c>
    </row>
    <row r="72" spans="1:11" s="9" customFormat="1" ht="20.100000000000001" customHeight="1">
      <c r="A72" s="13" t="s">
        <v>151</v>
      </c>
      <c r="B72" s="14" t="s">
        <v>152</v>
      </c>
      <c r="C72" s="15">
        <v>89</v>
      </c>
      <c r="D72" s="15">
        <v>85</v>
      </c>
      <c r="E72" s="15">
        <v>83</v>
      </c>
      <c r="F72" s="15">
        <v>76</v>
      </c>
      <c r="G72" s="15">
        <v>90</v>
      </c>
      <c r="H72" s="15">
        <v>89</v>
      </c>
      <c r="I72" s="15">
        <v>81</v>
      </c>
      <c r="J72" s="15">
        <v>75</v>
      </c>
      <c r="K72" s="15">
        <v>62</v>
      </c>
    </row>
    <row r="73" spans="1:11" s="9" customFormat="1" ht="20.100000000000001" customHeight="1">
      <c r="A73" s="13" t="s">
        <v>153</v>
      </c>
      <c r="B73" s="14" t="s">
        <v>154</v>
      </c>
      <c r="C73" s="15">
        <v>80</v>
      </c>
      <c r="D73" s="15">
        <v>77</v>
      </c>
      <c r="E73" s="15">
        <v>74</v>
      </c>
      <c r="F73" s="15">
        <v>74</v>
      </c>
      <c r="G73" s="15">
        <v>67</v>
      </c>
      <c r="H73" s="15">
        <v>77</v>
      </c>
      <c r="I73" s="15">
        <v>69</v>
      </c>
      <c r="J73" s="15">
        <v>73</v>
      </c>
      <c r="K73" s="15">
        <v>78</v>
      </c>
    </row>
    <row r="74" spans="1:11" s="9" customFormat="1" ht="20.100000000000001" customHeight="1">
      <c r="A74" s="13" t="s">
        <v>155</v>
      </c>
      <c r="B74" s="14" t="s">
        <v>156</v>
      </c>
      <c r="C74" s="15">
        <v>80</v>
      </c>
      <c r="D74" s="15">
        <v>67</v>
      </c>
      <c r="E74" s="15">
        <v>67</v>
      </c>
      <c r="F74" s="15">
        <v>74</v>
      </c>
      <c r="G74" s="15">
        <v>69</v>
      </c>
      <c r="H74" s="15">
        <v>67</v>
      </c>
      <c r="I74" s="15">
        <v>67</v>
      </c>
      <c r="J74" s="15">
        <v>72</v>
      </c>
      <c r="K74" s="15">
        <v>81</v>
      </c>
    </row>
    <row r="75" spans="1:11" ht="20.100000000000001" customHeight="1">
      <c r="A75" s="4" t="s">
        <v>157</v>
      </c>
      <c r="B75" s="5" t="s">
        <v>158</v>
      </c>
      <c r="C75" s="3">
        <v>90</v>
      </c>
      <c r="D75" s="3">
        <v>83</v>
      </c>
      <c r="E75" s="3">
        <v>92</v>
      </c>
      <c r="F75" s="3">
        <v>97</v>
      </c>
      <c r="G75" s="3">
        <v>82</v>
      </c>
      <c r="H75" s="3">
        <v>79</v>
      </c>
      <c r="I75" s="3">
        <v>91</v>
      </c>
      <c r="J75" s="3">
        <v>85</v>
      </c>
      <c r="K75" s="3">
        <v>85</v>
      </c>
    </row>
    <row r="76" spans="1:11" ht="20.100000000000001" customHeight="1">
      <c r="A76" s="4" t="s">
        <v>159</v>
      </c>
      <c r="B76" s="5" t="s">
        <v>160</v>
      </c>
      <c r="C76" s="3">
        <v>88</v>
      </c>
      <c r="D76" s="3">
        <v>78</v>
      </c>
      <c r="E76" s="3">
        <v>91</v>
      </c>
      <c r="F76" s="3">
        <v>99</v>
      </c>
      <c r="G76" s="3">
        <v>87</v>
      </c>
      <c r="H76" s="3">
        <v>87</v>
      </c>
      <c r="I76" s="3">
        <v>90</v>
      </c>
      <c r="J76" s="3">
        <v>85</v>
      </c>
      <c r="K76" s="3">
        <v>82</v>
      </c>
    </row>
    <row r="77" spans="1:11" ht="20.100000000000001" customHeight="1">
      <c r="A77" s="4" t="s">
        <v>161</v>
      </c>
      <c r="B77" s="5" t="s">
        <v>162</v>
      </c>
      <c r="C77" s="3">
        <v>92</v>
      </c>
      <c r="D77" s="3">
        <v>94</v>
      </c>
      <c r="E77" s="3">
        <v>90</v>
      </c>
      <c r="F77" s="3">
        <v>88</v>
      </c>
      <c r="G77" s="3">
        <v>86</v>
      </c>
      <c r="H77" s="3">
        <v>82</v>
      </c>
      <c r="I77" s="3">
        <v>88</v>
      </c>
      <c r="J77" s="3">
        <v>90</v>
      </c>
      <c r="K77" s="3">
        <v>97</v>
      </c>
    </row>
    <row r="78" spans="1:11" s="9" customFormat="1" ht="20.100000000000001" customHeight="1">
      <c r="A78" s="13" t="s">
        <v>163</v>
      </c>
      <c r="B78" s="14" t="s">
        <v>164</v>
      </c>
      <c r="C78" s="15">
        <v>83</v>
      </c>
      <c r="D78" s="15">
        <v>71</v>
      </c>
      <c r="E78" s="15">
        <v>74</v>
      </c>
      <c r="F78" s="15">
        <v>83</v>
      </c>
      <c r="G78" s="15">
        <v>59</v>
      </c>
      <c r="H78" s="15">
        <v>63</v>
      </c>
      <c r="I78" s="15">
        <v>74</v>
      </c>
      <c r="J78" s="15">
        <v>78</v>
      </c>
      <c r="K78" s="15">
        <v>70</v>
      </c>
    </row>
    <row r="79" spans="1:11" s="9" customFormat="1" ht="20.100000000000001" customHeight="1">
      <c r="A79" s="13" t="s">
        <v>165</v>
      </c>
      <c r="B79" s="14" t="s">
        <v>166</v>
      </c>
      <c r="C79" s="15">
        <v>77</v>
      </c>
      <c r="D79" s="15">
        <v>83</v>
      </c>
      <c r="E79" s="15">
        <v>83</v>
      </c>
      <c r="F79" s="15">
        <v>74</v>
      </c>
      <c r="G79" s="15">
        <v>80</v>
      </c>
      <c r="H79" s="15">
        <v>77</v>
      </c>
      <c r="I79" s="15">
        <v>80</v>
      </c>
      <c r="J79" s="15">
        <v>76</v>
      </c>
      <c r="K79" s="15">
        <v>83</v>
      </c>
    </row>
    <row r="80" spans="1:11" s="9" customFormat="1" ht="20.100000000000001" customHeight="1">
      <c r="A80" s="13" t="s">
        <v>167</v>
      </c>
      <c r="B80" s="14" t="s">
        <v>168</v>
      </c>
      <c r="C80" s="15">
        <v>77</v>
      </c>
      <c r="D80" s="15">
        <v>71</v>
      </c>
      <c r="E80" s="15">
        <v>71</v>
      </c>
      <c r="F80" s="15">
        <v>80</v>
      </c>
      <c r="G80" s="15">
        <v>64</v>
      </c>
      <c r="H80" s="15">
        <v>69</v>
      </c>
      <c r="I80" s="15">
        <v>74</v>
      </c>
      <c r="J80" s="15">
        <v>69</v>
      </c>
      <c r="K80" s="15">
        <v>73</v>
      </c>
    </row>
    <row r="81" spans="1:11" s="9" customFormat="1" ht="20.100000000000001" customHeight="1">
      <c r="A81" s="13" t="s">
        <v>169</v>
      </c>
      <c r="B81" s="14" t="s">
        <v>170</v>
      </c>
      <c r="C81" s="15">
        <v>77</v>
      </c>
      <c r="D81" s="15">
        <v>80</v>
      </c>
      <c r="E81" s="15">
        <v>74</v>
      </c>
      <c r="F81" s="15">
        <v>74</v>
      </c>
      <c r="G81" s="15">
        <v>80</v>
      </c>
      <c r="H81" s="15">
        <v>77</v>
      </c>
      <c r="I81" s="15">
        <v>67</v>
      </c>
      <c r="J81" s="15">
        <v>75</v>
      </c>
      <c r="K81" s="15">
        <v>78</v>
      </c>
    </row>
    <row r="82" spans="1:11" ht="20.100000000000001" customHeight="1">
      <c r="A82" s="4" t="s">
        <v>171</v>
      </c>
      <c r="B82" s="5" t="s">
        <v>172</v>
      </c>
      <c r="C82" s="3">
        <v>80</v>
      </c>
      <c r="D82" s="3">
        <v>83</v>
      </c>
      <c r="E82" s="3">
        <v>80</v>
      </c>
      <c r="F82" s="3">
        <v>74</v>
      </c>
      <c r="G82" s="3">
        <v>80</v>
      </c>
      <c r="H82" s="3">
        <v>77</v>
      </c>
      <c r="I82" s="3">
        <v>74</v>
      </c>
      <c r="J82" s="3">
        <v>73</v>
      </c>
      <c r="K82" s="3">
        <v>76</v>
      </c>
    </row>
    <row r="83" spans="1:11" s="9" customFormat="1" ht="20.100000000000001" customHeight="1">
      <c r="A83" s="13" t="s">
        <v>173</v>
      </c>
      <c r="B83" s="14" t="s">
        <v>174</v>
      </c>
      <c r="C83" s="15">
        <v>96</v>
      </c>
      <c r="D83" s="15">
        <v>80</v>
      </c>
      <c r="E83" s="15">
        <v>71</v>
      </c>
      <c r="F83" s="15">
        <v>77</v>
      </c>
      <c r="G83" s="15">
        <v>80</v>
      </c>
      <c r="H83" s="15">
        <v>71</v>
      </c>
      <c r="I83" s="15">
        <v>63</v>
      </c>
      <c r="J83" s="15">
        <v>71</v>
      </c>
      <c r="K83" s="15">
        <v>76</v>
      </c>
    </row>
    <row r="84" spans="1:11" ht="20.100000000000001" customHeight="1">
      <c r="A84" s="4" t="s">
        <v>175</v>
      </c>
      <c r="B84" s="5" t="s">
        <v>176</v>
      </c>
      <c r="C84" s="3">
        <v>80</v>
      </c>
      <c r="D84" s="3">
        <v>83</v>
      </c>
      <c r="E84" s="3">
        <v>83</v>
      </c>
      <c r="F84" s="3">
        <v>83</v>
      </c>
      <c r="G84" s="3">
        <v>89</v>
      </c>
      <c r="H84" s="3">
        <v>80</v>
      </c>
      <c r="I84" s="3">
        <v>77</v>
      </c>
      <c r="J84" s="3">
        <v>71</v>
      </c>
      <c r="K84" s="3">
        <v>64</v>
      </c>
    </row>
    <row r="85" spans="1:11" ht="20.100000000000001" customHeight="1">
      <c r="A85" s="4" t="s">
        <v>177</v>
      </c>
      <c r="B85" s="5" t="s">
        <v>178</v>
      </c>
      <c r="C85" s="3">
        <v>83</v>
      </c>
      <c r="D85" s="3">
        <v>81</v>
      </c>
      <c r="E85" s="3">
        <v>78</v>
      </c>
      <c r="F85" s="3">
        <v>80</v>
      </c>
      <c r="G85" s="3">
        <v>75</v>
      </c>
      <c r="H85" s="3">
        <v>71</v>
      </c>
      <c r="I85" s="3">
        <v>74</v>
      </c>
      <c r="J85" s="3">
        <v>70</v>
      </c>
      <c r="K85" s="3">
        <v>95</v>
      </c>
    </row>
    <row r="86" spans="1:11" ht="20.100000000000001" customHeight="1">
      <c r="A86" s="4" t="s">
        <v>179</v>
      </c>
      <c r="B86" s="5" t="s">
        <v>180</v>
      </c>
      <c r="C86" s="3">
        <v>62</v>
      </c>
      <c r="D86" s="3">
        <v>84</v>
      </c>
      <c r="E86" s="3">
        <v>100</v>
      </c>
      <c r="F86" s="3">
        <v>94</v>
      </c>
      <c r="G86" s="3">
        <v>84</v>
      </c>
      <c r="H86" s="3">
        <v>78</v>
      </c>
      <c r="I86" s="3">
        <v>90</v>
      </c>
      <c r="J86" s="3">
        <v>84</v>
      </c>
      <c r="K86" s="3">
        <v>64</v>
      </c>
    </row>
    <row r="87" spans="1:11" ht="20.100000000000001" customHeight="1">
      <c r="A87" s="4" t="s">
        <v>181</v>
      </c>
      <c r="B87" s="5" t="s">
        <v>182</v>
      </c>
      <c r="C87" s="3">
        <v>80</v>
      </c>
      <c r="D87" s="3">
        <v>83</v>
      </c>
      <c r="E87" s="3">
        <v>87</v>
      </c>
      <c r="F87" s="3">
        <v>94</v>
      </c>
      <c r="G87" s="3">
        <v>84</v>
      </c>
      <c r="H87" s="3">
        <v>83</v>
      </c>
      <c r="I87" s="3">
        <v>90</v>
      </c>
      <c r="J87" s="3">
        <v>81</v>
      </c>
      <c r="K87" s="3">
        <v>88</v>
      </c>
    </row>
    <row r="88" spans="1:11" ht="20.100000000000001" customHeight="1">
      <c r="A88" s="4" t="s">
        <v>183</v>
      </c>
      <c r="B88" s="5" t="s">
        <v>184</v>
      </c>
      <c r="C88" s="3">
        <v>84</v>
      </c>
      <c r="D88" s="3">
        <v>87</v>
      </c>
      <c r="E88" s="3">
        <v>88</v>
      </c>
      <c r="F88" s="3">
        <v>80</v>
      </c>
      <c r="G88" s="3">
        <v>90</v>
      </c>
      <c r="H88" s="3">
        <v>82</v>
      </c>
      <c r="I88" s="3">
        <v>86</v>
      </c>
      <c r="J88" s="3">
        <v>88</v>
      </c>
      <c r="K88" s="3">
        <v>86</v>
      </c>
    </row>
    <row r="89" spans="1:11" ht="20.100000000000001" customHeight="1">
      <c r="A89" s="4" t="s">
        <v>185</v>
      </c>
      <c r="B89" s="5" t="s">
        <v>186</v>
      </c>
      <c r="C89" s="3">
        <v>79</v>
      </c>
      <c r="D89" s="3">
        <v>91</v>
      </c>
      <c r="E89" s="3">
        <v>82</v>
      </c>
      <c r="F89" s="3">
        <v>69</v>
      </c>
      <c r="G89" s="3">
        <v>86</v>
      </c>
      <c r="H89" s="3">
        <v>75</v>
      </c>
      <c r="I89" s="3">
        <v>76</v>
      </c>
      <c r="J89" s="3">
        <v>86</v>
      </c>
      <c r="K89" s="3">
        <v>91</v>
      </c>
    </row>
    <row r="90" spans="1:11" ht="20.100000000000001" customHeight="1">
      <c r="A90" s="4" t="s">
        <v>187</v>
      </c>
      <c r="B90" s="5" t="s">
        <v>188</v>
      </c>
      <c r="C90" s="3">
        <v>86</v>
      </c>
      <c r="D90" s="3">
        <v>74</v>
      </c>
      <c r="E90" s="3">
        <v>77</v>
      </c>
      <c r="F90" s="3">
        <v>74</v>
      </c>
      <c r="G90" s="3">
        <v>77</v>
      </c>
      <c r="H90" s="3">
        <v>83</v>
      </c>
      <c r="I90" s="3">
        <v>74</v>
      </c>
      <c r="J90" s="3">
        <v>68</v>
      </c>
      <c r="K90" s="3">
        <v>69</v>
      </c>
    </row>
    <row r="91" spans="1:11" ht="20.100000000000001" customHeight="1">
      <c r="A91" s="4" t="s">
        <v>189</v>
      </c>
      <c r="B91" s="5" t="s">
        <v>190</v>
      </c>
      <c r="C91" s="3">
        <v>80</v>
      </c>
      <c r="D91" s="3">
        <v>80</v>
      </c>
      <c r="E91" s="3">
        <v>74</v>
      </c>
      <c r="F91" s="3">
        <v>69</v>
      </c>
      <c r="G91" s="3">
        <v>71</v>
      </c>
      <c r="H91" s="3">
        <v>67</v>
      </c>
      <c r="I91" s="3">
        <v>74</v>
      </c>
      <c r="J91" s="3">
        <v>76</v>
      </c>
      <c r="K91" s="3">
        <v>78</v>
      </c>
    </row>
    <row r="92" spans="1:11" ht="20.100000000000001" customHeight="1">
      <c r="A92" s="4" t="s">
        <v>191</v>
      </c>
      <c r="B92" s="5" t="s">
        <v>192</v>
      </c>
      <c r="C92" s="3">
        <v>94</v>
      </c>
      <c r="D92" s="3">
        <v>100</v>
      </c>
      <c r="E92" s="3">
        <v>86</v>
      </c>
      <c r="F92" s="3">
        <v>73</v>
      </c>
      <c r="G92" s="3">
        <v>83</v>
      </c>
      <c r="H92" s="3">
        <v>69</v>
      </c>
      <c r="I92" s="3">
        <v>77</v>
      </c>
      <c r="J92" s="3">
        <v>100</v>
      </c>
      <c r="K92" s="3">
        <v>82</v>
      </c>
    </row>
    <row r="93" spans="1:11" s="9" customFormat="1" ht="20.100000000000001" customHeight="1">
      <c r="A93" s="13" t="s">
        <v>193</v>
      </c>
      <c r="B93" s="14" t="s">
        <v>194</v>
      </c>
      <c r="C93" s="15">
        <v>83</v>
      </c>
      <c r="D93" s="15">
        <v>80</v>
      </c>
      <c r="E93" s="15">
        <v>74</v>
      </c>
      <c r="F93" s="15">
        <v>74</v>
      </c>
      <c r="G93" s="15">
        <v>77</v>
      </c>
      <c r="H93" s="15">
        <v>77</v>
      </c>
      <c r="I93" s="15">
        <v>77</v>
      </c>
      <c r="J93" s="15">
        <v>83</v>
      </c>
      <c r="K93" s="15">
        <v>82</v>
      </c>
    </row>
    <row r="94" spans="1:11" s="9" customFormat="1" ht="20.100000000000001" customHeight="1">
      <c r="A94" s="13" t="s">
        <v>195</v>
      </c>
      <c r="B94" s="14" t="s">
        <v>196</v>
      </c>
      <c r="C94" s="15">
        <v>83</v>
      </c>
      <c r="D94" s="15">
        <v>77</v>
      </c>
      <c r="E94" s="15">
        <v>71</v>
      </c>
      <c r="F94" s="15">
        <v>77</v>
      </c>
      <c r="G94" s="15">
        <v>77</v>
      </c>
      <c r="H94" s="15">
        <v>71</v>
      </c>
      <c r="I94" s="15">
        <v>71</v>
      </c>
      <c r="J94" s="15">
        <v>70</v>
      </c>
      <c r="K94" s="15">
        <v>69</v>
      </c>
    </row>
    <row r="95" spans="1:11" ht="20.100000000000001" customHeight="1">
      <c r="A95" s="4" t="s">
        <v>197</v>
      </c>
      <c r="B95" s="5" t="s">
        <v>198</v>
      </c>
      <c r="C95" s="3">
        <v>86</v>
      </c>
      <c r="D95" s="3">
        <v>92</v>
      </c>
      <c r="E95" s="3">
        <v>87</v>
      </c>
      <c r="F95" s="3">
        <v>78</v>
      </c>
      <c r="G95" s="3">
        <v>88</v>
      </c>
      <c r="H95" s="3">
        <v>83</v>
      </c>
      <c r="I95" s="3">
        <v>85</v>
      </c>
      <c r="J95" s="3">
        <v>78</v>
      </c>
      <c r="K95" s="3">
        <v>77</v>
      </c>
    </row>
    <row r="96" spans="1:11" ht="20.100000000000001" customHeight="1">
      <c r="A96" s="4" t="s">
        <v>199</v>
      </c>
      <c r="B96" s="5" t="s">
        <v>200</v>
      </c>
      <c r="C96" s="3">
        <v>87</v>
      </c>
      <c r="D96" s="3">
        <v>90</v>
      </c>
      <c r="E96" s="3">
        <v>87</v>
      </c>
      <c r="F96" s="3">
        <v>85</v>
      </c>
      <c r="G96" s="3">
        <v>83</v>
      </c>
      <c r="H96" s="3">
        <v>81</v>
      </c>
      <c r="I96" s="3">
        <v>85</v>
      </c>
      <c r="J96" s="3">
        <v>91</v>
      </c>
      <c r="K96" s="3">
        <v>73</v>
      </c>
    </row>
    <row r="97" spans="1:11" ht="20.100000000000001" customHeight="1">
      <c r="A97" s="4" t="s">
        <v>201</v>
      </c>
      <c r="B97" s="5" t="s">
        <v>202</v>
      </c>
      <c r="C97" s="3">
        <v>80</v>
      </c>
      <c r="D97" s="3">
        <v>99</v>
      </c>
      <c r="E97" s="3">
        <v>83</v>
      </c>
      <c r="F97" s="3">
        <v>69</v>
      </c>
      <c r="G97" s="3">
        <v>80</v>
      </c>
      <c r="H97" s="3">
        <v>77</v>
      </c>
      <c r="I97" s="3">
        <v>74</v>
      </c>
      <c r="J97" s="3">
        <v>73</v>
      </c>
      <c r="K97" s="3">
        <v>78</v>
      </c>
    </row>
    <row r="98" spans="1:11" ht="20.100000000000001" customHeight="1">
      <c r="A98" s="4" t="s">
        <v>203</v>
      </c>
      <c r="B98" s="5" t="s">
        <v>204</v>
      </c>
      <c r="C98" s="3">
        <v>82</v>
      </c>
      <c r="D98" s="3">
        <v>87</v>
      </c>
      <c r="E98" s="3">
        <v>87</v>
      </c>
      <c r="F98" s="3">
        <v>82</v>
      </c>
      <c r="G98" s="3">
        <v>87</v>
      </c>
      <c r="H98" s="3">
        <v>82</v>
      </c>
      <c r="I98" s="3">
        <v>78</v>
      </c>
      <c r="J98" s="3">
        <v>90</v>
      </c>
      <c r="K98" s="3">
        <v>83</v>
      </c>
    </row>
    <row r="99" spans="1:11" s="9" customFormat="1" ht="20.100000000000001" customHeight="1">
      <c r="A99" s="13" t="s">
        <v>205</v>
      </c>
      <c r="B99" s="14" t="s">
        <v>206</v>
      </c>
      <c r="C99" s="15">
        <v>83</v>
      </c>
      <c r="D99" s="15">
        <v>99</v>
      </c>
      <c r="E99" s="15">
        <v>77</v>
      </c>
      <c r="F99" s="15">
        <v>69</v>
      </c>
      <c r="G99" s="15">
        <v>69</v>
      </c>
      <c r="H99" s="15">
        <v>64</v>
      </c>
      <c r="I99" s="15">
        <v>67</v>
      </c>
      <c r="J99" s="15">
        <v>82</v>
      </c>
      <c r="K99" s="15">
        <v>75</v>
      </c>
    </row>
    <row r="100" spans="1:11" s="9" customFormat="1" ht="20.100000000000001" customHeight="1">
      <c r="A100" s="13" t="s">
        <v>207</v>
      </c>
      <c r="B100" s="14" t="s">
        <v>208</v>
      </c>
      <c r="C100" s="15">
        <v>77</v>
      </c>
      <c r="D100" s="15">
        <v>69</v>
      </c>
      <c r="E100" s="15">
        <v>77</v>
      </c>
      <c r="F100" s="15">
        <v>86</v>
      </c>
      <c r="G100" s="15">
        <v>77</v>
      </c>
      <c r="H100" s="15">
        <v>77</v>
      </c>
      <c r="I100" s="15">
        <v>83</v>
      </c>
      <c r="J100" s="15">
        <v>70</v>
      </c>
      <c r="K100" s="15">
        <v>76</v>
      </c>
    </row>
    <row r="101" spans="1:11" ht="20.100000000000001" customHeight="1">
      <c r="A101" s="4" t="s">
        <v>209</v>
      </c>
      <c r="B101" s="5" t="s">
        <v>210</v>
      </c>
      <c r="C101" s="3">
        <v>85</v>
      </c>
      <c r="D101" s="3">
        <v>82</v>
      </c>
      <c r="E101" s="3">
        <v>88</v>
      </c>
      <c r="F101" s="3">
        <v>88</v>
      </c>
      <c r="G101" s="3">
        <v>80</v>
      </c>
      <c r="H101" s="3">
        <v>78</v>
      </c>
      <c r="I101" s="3">
        <v>90</v>
      </c>
      <c r="J101" s="3">
        <v>74</v>
      </c>
      <c r="K101" s="3">
        <v>80</v>
      </c>
    </row>
    <row r="102" spans="1:11" ht="20.100000000000001" customHeight="1">
      <c r="A102" s="4" t="s">
        <v>211</v>
      </c>
      <c r="B102" s="5" t="s">
        <v>212</v>
      </c>
      <c r="C102" s="3">
        <v>86</v>
      </c>
      <c r="D102" s="3">
        <v>87</v>
      </c>
      <c r="E102" s="3">
        <v>87</v>
      </c>
      <c r="F102" s="3">
        <v>83</v>
      </c>
      <c r="G102" s="3">
        <v>99</v>
      </c>
      <c r="H102" s="3">
        <v>94</v>
      </c>
      <c r="I102" s="3">
        <v>83</v>
      </c>
      <c r="J102" s="3">
        <v>72</v>
      </c>
      <c r="K102" s="3">
        <v>76</v>
      </c>
    </row>
    <row r="103" spans="1:11" ht="20.100000000000001" customHeight="1">
      <c r="A103" s="4" t="s">
        <v>213</v>
      </c>
      <c r="B103" s="5" t="s">
        <v>214</v>
      </c>
      <c r="C103" s="3">
        <v>87</v>
      </c>
      <c r="D103" s="3">
        <v>82</v>
      </c>
      <c r="E103" s="3">
        <v>92</v>
      </c>
      <c r="F103" s="3">
        <v>87</v>
      </c>
      <c r="G103" s="3">
        <v>92</v>
      </c>
      <c r="H103" s="3">
        <v>93</v>
      </c>
      <c r="I103" s="3">
        <v>83</v>
      </c>
      <c r="J103" s="3">
        <v>80</v>
      </c>
      <c r="K103" s="3">
        <v>76</v>
      </c>
    </row>
    <row r="104" spans="1:11" s="9" customFormat="1" ht="20.100000000000001" customHeight="1">
      <c r="A104" s="13" t="s">
        <v>215</v>
      </c>
      <c r="B104" s="14" t="s">
        <v>216</v>
      </c>
      <c r="C104" s="15">
        <v>83</v>
      </c>
      <c r="D104" s="15">
        <v>77</v>
      </c>
      <c r="E104" s="15">
        <v>77</v>
      </c>
      <c r="F104" s="15">
        <v>74</v>
      </c>
      <c r="G104" s="15">
        <v>77</v>
      </c>
      <c r="H104" s="15">
        <v>83</v>
      </c>
      <c r="I104" s="15">
        <v>71</v>
      </c>
      <c r="J104" s="15">
        <v>66</v>
      </c>
      <c r="K104" s="15">
        <v>72</v>
      </c>
    </row>
    <row r="105" spans="1:11" ht="20.100000000000001" customHeight="1">
      <c r="A105" s="4" t="s">
        <v>217</v>
      </c>
      <c r="B105" s="5" t="s">
        <v>218</v>
      </c>
      <c r="C105" s="3">
        <v>80</v>
      </c>
      <c r="D105" s="3">
        <v>86</v>
      </c>
      <c r="E105" s="3">
        <v>83</v>
      </c>
      <c r="F105" s="3">
        <v>77</v>
      </c>
      <c r="G105" s="3">
        <v>80</v>
      </c>
      <c r="H105" s="3">
        <v>74</v>
      </c>
      <c r="I105" s="3">
        <v>80</v>
      </c>
      <c r="J105" s="3">
        <v>73</v>
      </c>
      <c r="K105" s="3">
        <v>66</v>
      </c>
    </row>
    <row r="106" spans="1:11" ht="20.100000000000001" customHeight="1">
      <c r="A106" s="4" t="s">
        <v>219</v>
      </c>
      <c r="B106" s="5" t="s">
        <v>220</v>
      </c>
      <c r="C106" s="3">
        <v>80</v>
      </c>
      <c r="D106" s="3">
        <v>74</v>
      </c>
      <c r="E106" s="3">
        <v>80</v>
      </c>
      <c r="F106" s="3">
        <v>86</v>
      </c>
      <c r="G106" s="3">
        <v>77</v>
      </c>
      <c r="H106" s="3">
        <v>74</v>
      </c>
      <c r="I106" s="3">
        <v>77</v>
      </c>
      <c r="J106" s="3">
        <v>77</v>
      </c>
      <c r="K106" s="3">
        <v>77</v>
      </c>
    </row>
    <row r="107" spans="1:11" ht="20.100000000000001" customHeight="1">
      <c r="A107" s="4" t="s">
        <v>221</v>
      </c>
      <c r="B107" s="5" t="s">
        <v>222</v>
      </c>
      <c r="C107" s="3">
        <v>80</v>
      </c>
      <c r="D107" s="3">
        <v>87</v>
      </c>
      <c r="E107" s="3">
        <v>90</v>
      </c>
      <c r="F107" s="3">
        <v>86</v>
      </c>
      <c r="G107" s="3">
        <v>99</v>
      </c>
      <c r="H107" s="3">
        <v>100</v>
      </c>
      <c r="I107" s="3">
        <v>88</v>
      </c>
      <c r="J107" s="3">
        <v>69</v>
      </c>
      <c r="K107" s="3">
        <v>69</v>
      </c>
    </row>
    <row r="108" spans="1:11" ht="20.100000000000001" customHeight="1">
      <c r="A108" s="4" t="s">
        <v>223</v>
      </c>
      <c r="B108" s="5" t="s">
        <v>224</v>
      </c>
      <c r="C108" s="3">
        <v>80</v>
      </c>
      <c r="D108" s="3">
        <v>74</v>
      </c>
      <c r="E108" s="3">
        <v>74</v>
      </c>
      <c r="F108" s="3">
        <v>80</v>
      </c>
      <c r="G108" s="3">
        <v>74</v>
      </c>
      <c r="H108" s="3">
        <v>80</v>
      </c>
      <c r="I108" s="3">
        <v>69</v>
      </c>
      <c r="J108" s="3">
        <v>76</v>
      </c>
      <c r="K108" s="3">
        <v>79</v>
      </c>
    </row>
    <row r="109" spans="1:11" ht="20.100000000000001" customHeight="1">
      <c r="A109" s="4" t="s">
        <v>225</v>
      </c>
      <c r="B109" s="5" t="s">
        <v>226</v>
      </c>
      <c r="C109" s="3">
        <v>80</v>
      </c>
      <c r="D109" s="3">
        <v>69</v>
      </c>
      <c r="E109" s="3">
        <v>80</v>
      </c>
      <c r="F109" s="3">
        <v>83</v>
      </c>
      <c r="G109" s="3">
        <v>74</v>
      </c>
      <c r="H109" s="3">
        <v>69</v>
      </c>
      <c r="I109" s="3">
        <v>80</v>
      </c>
      <c r="J109" s="3">
        <v>69</v>
      </c>
      <c r="K109" s="3">
        <v>78</v>
      </c>
    </row>
    <row r="110" spans="1:11" ht="20.100000000000001" customHeight="1">
      <c r="A110" s="4" t="s">
        <v>227</v>
      </c>
      <c r="B110" s="5" t="s">
        <v>228</v>
      </c>
      <c r="C110" s="3">
        <v>67</v>
      </c>
      <c r="D110" s="3">
        <v>74</v>
      </c>
      <c r="E110" s="3">
        <v>74</v>
      </c>
      <c r="F110" s="3">
        <v>80</v>
      </c>
      <c r="G110" s="3">
        <v>71</v>
      </c>
      <c r="H110" s="3">
        <v>71</v>
      </c>
      <c r="I110" s="3">
        <v>69</v>
      </c>
      <c r="J110" s="3">
        <v>74</v>
      </c>
      <c r="K110" s="3">
        <v>76</v>
      </c>
    </row>
    <row r="111" spans="1:11" ht="20.100000000000001" customHeight="1">
      <c r="A111" s="4" t="s">
        <v>229</v>
      </c>
      <c r="B111" s="5" t="s">
        <v>230</v>
      </c>
      <c r="C111" s="3">
        <v>85</v>
      </c>
      <c r="D111" s="3">
        <v>89</v>
      </c>
      <c r="E111" s="3">
        <v>83</v>
      </c>
      <c r="F111" s="3">
        <v>77</v>
      </c>
      <c r="G111" s="3">
        <v>81</v>
      </c>
      <c r="H111" s="3">
        <v>75</v>
      </c>
      <c r="I111" s="3">
        <v>78</v>
      </c>
      <c r="J111" s="3">
        <v>89</v>
      </c>
      <c r="K111" s="3">
        <v>80</v>
      </c>
    </row>
    <row r="112" spans="1:11" ht="20.100000000000001" customHeight="1">
      <c r="A112" s="4" t="s">
        <v>231</v>
      </c>
      <c r="B112" s="5" t="s">
        <v>232</v>
      </c>
      <c r="C112" s="3">
        <v>74</v>
      </c>
      <c r="D112" s="3">
        <v>77</v>
      </c>
      <c r="E112" s="3">
        <v>80</v>
      </c>
      <c r="F112" s="3">
        <v>71</v>
      </c>
      <c r="G112" s="3">
        <v>83</v>
      </c>
      <c r="H112" s="3">
        <v>86</v>
      </c>
      <c r="I112" s="3">
        <v>80</v>
      </c>
      <c r="J112" s="3">
        <v>69</v>
      </c>
      <c r="K112" s="3">
        <v>82</v>
      </c>
    </row>
    <row r="113" spans="1:11" ht="20.100000000000001" customHeight="1">
      <c r="A113" s="4" t="s">
        <v>233</v>
      </c>
      <c r="B113" s="5" t="s">
        <v>234</v>
      </c>
      <c r="C113" s="3">
        <v>80</v>
      </c>
      <c r="D113" s="3">
        <v>99</v>
      </c>
      <c r="E113" s="3">
        <v>86</v>
      </c>
      <c r="F113" s="3">
        <v>61</v>
      </c>
      <c r="G113" s="3">
        <v>71</v>
      </c>
      <c r="H113" s="3">
        <v>59</v>
      </c>
      <c r="I113" s="3">
        <v>74</v>
      </c>
      <c r="J113" s="3">
        <v>80</v>
      </c>
      <c r="K113" s="3">
        <v>73</v>
      </c>
    </row>
    <row r="114" spans="1:11" ht="20.100000000000001" customHeight="1">
      <c r="A114" s="4" t="s">
        <v>235</v>
      </c>
      <c r="B114" s="5" t="s">
        <v>236</v>
      </c>
      <c r="C114" s="3">
        <v>74</v>
      </c>
      <c r="D114" s="3">
        <v>69</v>
      </c>
      <c r="E114" s="3">
        <v>83</v>
      </c>
      <c r="F114" s="3">
        <v>93</v>
      </c>
      <c r="G114" s="3">
        <v>77</v>
      </c>
      <c r="H114" s="3">
        <v>77</v>
      </c>
      <c r="I114" s="3">
        <v>64</v>
      </c>
      <c r="J114" s="3">
        <v>78</v>
      </c>
      <c r="K114" s="3">
        <v>77</v>
      </c>
    </row>
    <row r="115" spans="1:11" ht="20.100000000000001" customHeight="1">
      <c r="A115" s="4" t="s">
        <v>237</v>
      </c>
      <c r="B115" s="5" t="s">
        <v>238</v>
      </c>
      <c r="C115" s="3">
        <v>94</v>
      </c>
      <c r="D115" s="3">
        <v>99</v>
      </c>
      <c r="E115" s="3">
        <v>83</v>
      </c>
      <c r="F115" s="3">
        <v>76</v>
      </c>
      <c r="G115" s="3">
        <v>81</v>
      </c>
      <c r="H115" s="3">
        <v>74</v>
      </c>
      <c r="I115" s="3">
        <v>81</v>
      </c>
      <c r="J115" s="3">
        <v>76</v>
      </c>
      <c r="K115" s="3">
        <v>88</v>
      </c>
    </row>
    <row r="116" spans="1:11" ht="20.100000000000001" customHeight="1">
      <c r="A116" s="4" t="s">
        <v>239</v>
      </c>
      <c r="B116" s="5" t="s">
        <v>240</v>
      </c>
      <c r="C116" s="3">
        <v>80</v>
      </c>
      <c r="D116" s="3">
        <v>80</v>
      </c>
      <c r="E116" s="3">
        <v>80</v>
      </c>
      <c r="F116" s="3">
        <v>93</v>
      </c>
      <c r="G116" s="3">
        <v>74</v>
      </c>
      <c r="H116" s="3">
        <v>86</v>
      </c>
      <c r="I116" s="3">
        <v>74</v>
      </c>
      <c r="J116" s="3">
        <v>71</v>
      </c>
      <c r="K116" s="3">
        <v>66</v>
      </c>
    </row>
    <row r="117" spans="1:11" ht="20.100000000000001" customHeight="1">
      <c r="A117" s="4" t="s">
        <v>241</v>
      </c>
      <c r="B117" s="5" t="s">
        <v>242</v>
      </c>
      <c r="C117" s="3">
        <v>71</v>
      </c>
      <c r="D117" s="3">
        <v>86</v>
      </c>
      <c r="E117" s="3">
        <v>89</v>
      </c>
      <c r="F117" s="3">
        <v>77</v>
      </c>
      <c r="G117" s="3">
        <v>69</v>
      </c>
      <c r="H117" s="3">
        <v>64</v>
      </c>
      <c r="I117" s="3">
        <v>83</v>
      </c>
      <c r="J117" s="3">
        <v>65</v>
      </c>
      <c r="K117" s="3">
        <v>68</v>
      </c>
    </row>
    <row r="118" spans="1:11" ht="20.100000000000001" customHeight="1">
      <c r="A118" s="4" t="s">
        <v>243</v>
      </c>
      <c r="B118" s="5" t="s">
        <v>244</v>
      </c>
      <c r="C118" s="3">
        <v>97</v>
      </c>
      <c r="D118" s="3">
        <v>98</v>
      </c>
      <c r="E118" s="3">
        <v>81</v>
      </c>
      <c r="F118" s="3">
        <v>84</v>
      </c>
      <c r="G118" s="3">
        <v>69</v>
      </c>
      <c r="H118" s="3">
        <v>67</v>
      </c>
      <c r="I118" s="3">
        <v>78</v>
      </c>
      <c r="J118" s="3">
        <v>100</v>
      </c>
      <c r="K118" s="3">
        <v>96</v>
      </c>
    </row>
    <row r="119" spans="1:11" ht="20.100000000000001" customHeight="1">
      <c r="A119" s="4" t="s">
        <v>245</v>
      </c>
      <c r="B119" s="5" t="s">
        <v>246</v>
      </c>
      <c r="C119" s="3">
        <v>69</v>
      </c>
      <c r="D119" s="3">
        <v>74</v>
      </c>
      <c r="E119" s="3">
        <v>74</v>
      </c>
      <c r="F119" s="3">
        <v>74</v>
      </c>
      <c r="G119" s="3">
        <v>74</v>
      </c>
      <c r="H119" s="3">
        <v>67</v>
      </c>
      <c r="I119" s="3">
        <v>80</v>
      </c>
      <c r="J119" s="3">
        <v>73</v>
      </c>
      <c r="K119" s="3">
        <v>79</v>
      </c>
    </row>
    <row r="120" spans="1:11" ht="20.100000000000001" customHeight="1">
      <c r="A120" s="4" t="s">
        <v>247</v>
      </c>
      <c r="B120" s="5" t="s">
        <v>248</v>
      </c>
      <c r="C120" s="3">
        <v>76</v>
      </c>
      <c r="D120" s="3">
        <v>82</v>
      </c>
      <c r="E120" s="3">
        <v>93</v>
      </c>
      <c r="F120" s="3">
        <v>84</v>
      </c>
      <c r="G120" s="3">
        <v>96</v>
      </c>
      <c r="H120" s="3">
        <v>87</v>
      </c>
      <c r="I120" s="3">
        <v>94</v>
      </c>
      <c r="J120" s="3">
        <v>68</v>
      </c>
      <c r="K120" s="3">
        <v>67</v>
      </c>
    </row>
    <row r="121" spans="1:11" ht="20.100000000000001" customHeight="1">
      <c r="A121" s="4" t="s">
        <v>249</v>
      </c>
      <c r="B121" s="5" t="s">
        <v>250</v>
      </c>
      <c r="C121" s="3">
        <v>80</v>
      </c>
      <c r="D121" s="3">
        <v>93</v>
      </c>
      <c r="E121" s="3">
        <v>79</v>
      </c>
      <c r="F121" s="3">
        <v>76</v>
      </c>
      <c r="G121" s="3">
        <v>76</v>
      </c>
      <c r="H121" s="3">
        <v>72</v>
      </c>
      <c r="I121" s="3">
        <v>76</v>
      </c>
      <c r="J121" s="3">
        <v>87</v>
      </c>
      <c r="K121" s="3">
        <v>83</v>
      </c>
    </row>
    <row r="122" spans="1:11" ht="20.100000000000001" customHeight="1">
      <c r="A122" s="4" t="s">
        <v>251</v>
      </c>
      <c r="B122" s="5" t="s">
        <v>252</v>
      </c>
      <c r="C122" s="3">
        <v>88</v>
      </c>
      <c r="D122" s="3">
        <v>78</v>
      </c>
      <c r="E122" s="3">
        <v>89</v>
      </c>
      <c r="F122" s="3">
        <v>87</v>
      </c>
      <c r="G122" s="3">
        <v>84</v>
      </c>
      <c r="H122" s="3">
        <v>82</v>
      </c>
      <c r="I122" s="3">
        <v>83</v>
      </c>
      <c r="J122" s="3">
        <v>74</v>
      </c>
      <c r="K122" s="3">
        <v>72</v>
      </c>
    </row>
    <row r="123" spans="1:11" ht="20.100000000000001" customHeight="1">
      <c r="A123" s="4" t="s">
        <v>253</v>
      </c>
      <c r="B123" s="5" t="s">
        <v>254</v>
      </c>
      <c r="C123" s="3">
        <v>81</v>
      </c>
      <c r="D123" s="3">
        <v>86</v>
      </c>
      <c r="E123" s="3">
        <v>88</v>
      </c>
      <c r="F123" s="3">
        <v>80</v>
      </c>
      <c r="G123" s="3">
        <v>90</v>
      </c>
      <c r="H123" s="3">
        <v>89</v>
      </c>
      <c r="I123" s="3">
        <v>92</v>
      </c>
      <c r="J123" s="3">
        <v>84</v>
      </c>
      <c r="K123" s="3">
        <v>78</v>
      </c>
    </row>
    <row r="124" spans="1:11" ht="20.100000000000001" customHeight="1">
      <c r="A124" s="4" t="s">
        <v>255</v>
      </c>
      <c r="B124" s="5" t="s">
        <v>256</v>
      </c>
      <c r="C124" s="3">
        <v>88</v>
      </c>
      <c r="D124" s="3">
        <v>98</v>
      </c>
      <c r="E124" s="3">
        <v>91</v>
      </c>
      <c r="F124" s="3">
        <v>84</v>
      </c>
      <c r="G124" s="3">
        <v>96</v>
      </c>
      <c r="H124" s="3">
        <v>91</v>
      </c>
      <c r="I124" s="3">
        <v>98</v>
      </c>
      <c r="J124" s="3">
        <v>100</v>
      </c>
      <c r="K124" s="3">
        <v>92</v>
      </c>
    </row>
    <row r="125" spans="1:11" ht="20.100000000000001" customHeight="1">
      <c r="A125" s="4" t="s">
        <v>257</v>
      </c>
      <c r="B125" s="5" t="s">
        <v>258</v>
      </c>
      <c r="C125" s="3">
        <v>85</v>
      </c>
      <c r="D125" s="3">
        <v>84</v>
      </c>
      <c r="E125" s="3">
        <v>88</v>
      </c>
      <c r="F125" s="3">
        <v>88</v>
      </c>
      <c r="G125" s="3">
        <v>86</v>
      </c>
      <c r="H125" s="3">
        <v>95</v>
      </c>
      <c r="I125" s="3">
        <v>85</v>
      </c>
      <c r="J125" s="3">
        <v>75</v>
      </c>
      <c r="K125" s="3">
        <v>63</v>
      </c>
    </row>
    <row r="126" spans="1:11" ht="20.100000000000001" customHeight="1">
      <c r="A126" s="4" t="s">
        <v>259</v>
      </c>
      <c r="B126" s="5" t="s">
        <v>260</v>
      </c>
      <c r="C126" s="3">
        <v>85</v>
      </c>
      <c r="D126" s="3">
        <v>82</v>
      </c>
      <c r="E126" s="3">
        <v>87</v>
      </c>
      <c r="F126" s="3">
        <v>88</v>
      </c>
      <c r="G126" s="3">
        <v>77</v>
      </c>
      <c r="H126" s="3">
        <v>80</v>
      </c>
      <c r="I126" s="3">
        <v>86</v>
      </c>
      <c r="J126" s="3">
        <v>74</v>
      </c>
      <c r="K126" s="3">
        <v>72</v>
      </c>
    </row>
    <row r="127" spans="1:11" ht="20.100000000000001" customHeight="1">
      <c r="A127" s="4" t="s">
        <v>261</v>
      </c>
      <c r="B127" s="5" t="s">
        <v>262</v>
      </c>
      <c r="C127" s="3">
        <v>84</v>
      </c>
      <c r="D127" s="3">
        <v>78</v>
      </c>
      <c r="E127" s="3">
        <v>90</v>
      </c>
      <c r="F127" s="3">
        <v>82</v>
      </c>
      <c r="G127" s="3">
        <v>94</v>
      </c>
      <c r="H127" s="3">
        <v>89</v>
      </c>
      <c r="I127" s="3">
        <v>84</v>
      </c>
      <c r="J127" s="3">
        <v>73</v>
      </c>
      <c r="K127" s="3">
        <v>65</v>
      </c>
    </row>
    <row r="128" spans="1:11" ht="20.100000000000001" customHeight="1">
      <c r="A128" s="4" t="s">
        <v>263</v>
      </c>
      <c r="B128" s="5" t="s">
        <v>264</v>
      </c>
      <c r="C128" s="3">
        <v>100</v>
      </c>
      <c r="D128" s="3">
        <v>87</v>
      </c>
      <c r="E128" s="3">
        <v>82</v>
      </c>
      <c r="F128" s="3">
        <v>86</v>
      </c>
      <c r="G128" s="3">
        <v>83</v>
      </c>
      <c r="H128" s="3">
        <v>86</v>
      </c>
      <c r="I128" s="3">
        <v>83</v>
      </c>
      <c r="J128" s="3">
        <v>76</v>
      </c>
      <c r="K128" s="3">
        <v>79</v>
      </c>
    </row>
    <row r="129" spans="1:11" ht="20.100000000000001" customHeight="1">
      <c r="A129" s="4" t="s">
        <v>265</v>
      </c>
      <c r="B129" s="5" t="s">
        <v>266</v>
      </c>
      <c r="C129" s="3">
        <v>80</v>
      </c>
      <c r="D129" s="3">
        <v>83</v>
      </c>
      <c r="E129" s="3">
        <v>83</v>
      </c>
      <c r="F129" s="3">
        <v>74</v>
      </c>
      <c r="G129" s="3">
        <v>89</v>
      </c>
      <c r="H129" s="3">
        <v>77</v>
      </c>
      <c r="I129" s="3">
        <v>83</v>
      </c>
      <c r="J129" s="3">
        <v>79</v>
      </c>
      <c r="K129" s="3">
        <v>75</v>
      </c>
    </row>
    <row r="130" spans="1:11" ht="20.100000000000001" customHeight="1">
      <c r="A130" s="4" t="s">
        <v>267</v>
      </c>
      <c r="B130" s="5" t="s">
        <v>268</v>
      </c>
      <c r="C130" s="3">
        <v>77</v>
      </c>
      <c r="D130" s="3">
        <v>77</v>
      </c>
      <c r="E130" s="3">
        <v>71</v>
      </c>
      <c r="F130" s="3">
        <v>74</v>
      </c>
      <c r="G130" s="3">
        <v>69</v>
      </c>
      <c r="H130" s="3">
        <v>69</v>
      </c>
      <c r="I130" s="3">
        <v>71</v>
      </c>
      <c r="J130" s="3">
        <v>77</v>
      </c>
      <c r="K130" s="3">
        <v>77</v>
      </c>
    </row>
    <row r="131" spans="1:11" ht="20.100000000000001" customHeight="1">
      <c r="A131" s="4" t="s">
        <v>269</v>
      </c>
      <c r="B131" s="5" t="s">
        <v>270</v>
      </c>
      <c r="C131" s="3">
        <v>78</v>
      </c>
      <c r="D131" s="3">
        <v>79</v>
      </c>
      <c r="E131" s="3">
        <v>78</v>
      </c>
      <c r="F131" s="3">
        <v>84</v>
      </c>
      <c r="G131" s="3">
        <v>71</v>
      </c>
      <c r="H131" s="3">
        <v>73</v>
      </c>
      <c r="I131" s="3">
        <v>72</v>
      </c>
      <c r="J131" s="3">
        <v>91</v>
      </c>
      <c r="K131" s="3">
        <v>83</v>
      </c>
    </row>
    <row r="132" spans="1:11" ht="20.100000000000001" customHeight="1">
      <c r="A132" s="4" t="s">
        <v>271</v>
      </c>
      <c r="B132" s="5" t="s">
        <v>272</v>
      </c>
      <c r="C132" s="3">
        <v>84</v>
      </c>
      <c r="D132" s="3">
        <v>71</v>
      </c>
      <c r="E132" s="3">
        <v>89</v>
      </c>
      <c r="F132" s="3">
        <v>96</v>
      </c>
      <c r="G132" s="3">
        <v>77</v>
      </c>
      <c r="H132" s="3">
        <v>83</v>
      </c>
      <c r="I132" s="3">
        <v>80</v>
      </c>
      <c r="J132" s="3">
        <v>86</v>
      </c>
      <c r="K132" s="3">
        <v>81</v>
      </c>
    </row>
    <row r="133" spans="1:11" ht="20.100000000000001" customHeight="1">
      <c r="A133" s="4" t="s">
        <v>273</v>
      </c>
      <c r="B133" s="5" t="s">
        <v>274</v>
      </c>
      <c r="C133" s="3">
        <v>86</v>
      </c>
      <c r="D133" s="3">
        <v>80</v>
      </c>
      <c r="E133" s="3">
        <v>80</v>
      </c>
      <c r="F133" s="3">
        <v>77</v>
      </c>
      <c r="G133" s="3">
        <v>80</v>
      </c>
      <c r="H133" s="3">
        <v>74</v>
      </c>
      <c r="I133" s="3">
        <v>80</v>
      </c>
      <c r="J133" s="3">
        <v>77</v>
      </c>
      <c r="K133" s="3">
        <v>74</v>
      </c>
    </row>
    <row r="134" spans="1:11" ht="20.100000000000001" customHeight="1">
      <c r="A134" s="4" t="s">
        <v>275</v>
      </c>
      <c r="B134" s="5" t="s">
        <v>276</v>
      </c>
      <c r="C134" s="3">
        <v>71</v>
      </c>
      <c r="D134" s="3">
        <v>83</v>
      </c>
      <c r="E134" s="3">
        <v>79</v>
      </c>
      <c r="F134" s="3">
        <v>82</v>
      </c>
      <c r="G134" s="3">
        <v>95</v>
      </c>
      <c r="H134" s="3">
        <v>96</v>
      </c>
      <c r="I134" s="3">
        <v>79</v>
      </c>
      <c r="J134" s="3">
        <v>80</v>
      </c>
      <c r="K134" s="3">
        <v>89</v>
      </c>
    </row>
    <row r="135" spans="1:11" ht="20.100000000000001" customHeight="1">
      <c r="A135" s="4" t="s">
        <v>277</v>
      </c>
      <c r="B135" s="5" t="s">
        <v>278</v>
      </c>
      <c r="C135" s="3">
        <v>80</v>
      </c>
      <c r="D135" s="3">
        <v>69</v>
      </c>
      <c r="E135" s="3">
        <v>80</v>
      </c>
      <c r="F135" s="3">
        <v>83</v>
      </c>
      <c r="G135" s="3">
        <v>71</v>
      </c>
      <c r="H135" s="3">
        <v>64</v>
      </c>
      <c r="I135" s="3">
        <v>80</v>
      </c>
      <c r="J135" s="3">
        <v>65</v>
      </c>
      <c r="K135" s="3">
        <v>73</v>
      </c>
    </row>
    <row r="136" spans="1:11" ht="20.100000000000001" customHeight="1">
      <c r="A136" s="4" t="s">
        <v>279</v>
      </c>
      <c r="B136" s="5" t="s">
        <v>280</v>
      </c>
      <c r="C136" s="3">
        <v>80</v>
      </c>
      <c r="D136" s="3">
        <v>77</v>
      </c>
      <c r="E136" s="3">
        <v>83</v>
      </c>
      <c r="F136" s="3">
        <v>80</v>
      </c>
      <c r="G136" s="3">
        <v>80</v>
      </c>
      <c r="H136" s="3">
        <v>69</v>
      </c>
      <c r="I136" s="3">
        <v>77</v>
      </c>
      <c r="J136" s="3">
        <v>72</v>
      </c>
      <c r="K136" s="3">
        <v>70</v>
      </c>
    </row>
    <row r="137" spans="1:11" ht="20.100000000000001" customHeight="1">
      <c r="A137" s="4" t="s">
        <v>281</v>
      </c>
      <c r="B137" s="5" t="s">
        <v>282</v>
      </c>
      <c r="C137" s="3">
        <v>88</v>
      </c>
      <c r="D137" s="3">
        <v>99</v>
      </c>
      <c r="E137" s="3">
        <v>85</v>
      </c>
      <c r="F137" s="3">
        <v>72</v>
      </c>
      <c r="G137" s="3">
        <v>74</v>
      </c>
      <c r="H137" s="3">
        <v>67</v>
      </c>
      <c r="I137" s="3">
        <v>85</v>
      </c>
      <c r="J137" s="3">
        <v>69</v>
      </c>
      <c r="K137" s="3">
        <v>86</v>
      </c>
    </row>
    <row r="138" spans="1:11" ht="20.100000000000001" customHeight="1">
      <c r="A138" s="4" t="s">
        <v>283</v>
      </c>
      <c r="B138" s="5" t="s">
        <v>284</v>
      </c>
      <c r="C138" s="3">
        <v>88</v>
      </c>
      <c r="D138" s="3">
        <v>90</v>
      </c>
      <c r="E138" s="3">
        <v>84</v>
      </c>
      <c r="F138" s="3">
        <v>88</v>
      </c>
      <c r="G138" s="3">
        <v>81</v>
      </c>
      <c r="H138" s="3">
        <v>82</v>
      </c>
      <c r="I138" s="3">
        <v>76</v>
      </c>
      <c r="J138" s="3">
        <v>85</v>
      </c>
      <c r="K138" s="3">
        <v>84</v>
      </c>
    </row>
    <row r="139" spans="1:11" ht="20.100000000000001" customHeight="1">
      <c r="A139" s="4" t="s">
        <v>285</v>
      </c>
      <c r="B139" s="5" t="s">
        <v>286</v>
      </c>
      <c r="C139" s="3">
        <v>88</v>
      </c>
      <c r="D139" s="3">
        <v>80</v>
      </c>
      <c r="E139" s="3">
        <v>89</v>
      </c>
      <c r="F139" s="3">
        <v>93</v>
      </c>
      <c r="G139" s="3">
        <v>81</v>
      </c>
      <c r="H139" s="3">
        <v>78</v>
      </c>
      <c r="I139" s="3">
        <v>84</v>
      </c>
      <c r="J139" s="3">
        <v>82</v>
      </c>
      <c r="K139" s="3">
        <v>69</v>
      </c>
    </row>
    <row r="140" spans="1:11" ht="20.100000000000001" customHeight="1">
      <c r="A140" s="4" t="s">
        <v>287</v>
      </c>
      <c r="B140" s="5" t="s">
        <v>288</v>
      </c>
      <c r="C140" s="3">
        <v>96</v>
      </c>
      <c r="D140" s="3">
        <v>79</v>
      </c>
      <c r="E140" s="3">
        <v>82</v>
      </c>
      <c r="F140" s="3">
        <v>96</v>
      </c>
      <c r="G140" s="3">
        <v>70</v>
      </c>
      <c r="H140" s="3">
        <v>72</v>
      </c>
      <c r="I140" s="3">
        <v>77</v>
      </c>
      <c r="J140" s="3">
        <v>86</v>
      </c>
      <c r="K140" s="3">
        <v>70</v>
      </c>
    </row>
    <row r="141" spans="1:11" ht="20.100000000000001" customHeight="1">
      <c r="A141" s="4" t="s">
        <v>289</v>
      </c>
      <c r="B141" s="5" t="s">
        <v>290</v>
      </c>
      <c r="C141" s="3">
        <v>93</v>
      </c>
      <c r="D141" s="3">
        <v>79</v>
      </c>
      <c r="E141" s="3">
        <v>95</v>
      </c>
      <c r="F141" s="3">
        <v>87</v>
      </c>
      <c r="G141" s="3">
        <v>88</v>
      </c>
      <c r="H141" s="3">
        <v>90</v>
      </c>
      <c r="I141" s="3">
        <v>99</v>
      </c>
      <c r="J141" s="3">
        <v>70</v>
      </c>
      <c r="K141" s="3">
        <v>86</v>
      </c>
    </row>
    <row r="142" spans="1:11" ht="20.100000000000001" customHeight="1">
      <c r="A142" s="4" t="s">
        <v>291</v>
      </c>
      <c r="B142" s="5" t="s">
        <v>292</v>
      </c>
      <c r="C142" s="3">
        <v>77</v>
      </c>
      <c r="D142" s="3">
        <v>77</v>
      </c>
      <c r="E142" s="3">
        <v>74</v>
      </c>
      <c r="F142" s="3">
        <v>83</v>
      </c>
      <c r="G142" s="3">
        <v>71</v>
      </c>
      <c r="H142" s="3">
        <v>71</v>
      </c>
      <c r="I142" s="3">
        <v>74</v>
      </c>
      <c r="J142" s="3">
        <v>69</v>
      </c>
      <c r="K142" s="3">
        <v>78</v>
      </c>
    </row>
    <row r="143" spans="1:11" ht="20.100000000000001" customHeight="1">
      <c r="A143" s="4" t="s">
        <v>293</v>
      </c>
      <c r="B143" s="5" t="s">
        <v>294</v>
      </c>
      <c r="C143" s="3">
        <v>84</v>
      </c>
      <c r="D143" s="3">
        <v>89</v>
      </c>
      <c r="E143" s="3">
        <v>91</v>
      </c>
      <c r="F143" s="3">
        <v>83</v>
      </c>
      <c r="G143" s="3">
        <v>87</v>
      </c>
      <c r="H143" s="3">
        <v>85</v>
      </c>
      <c r="I143" s="3">
        <v>87</v>
      </c>
      <c r="J143" s="3">
        <v>78</v>
      </c>
      <c r="K143" s="3">
        <v>74</v>
      </c>
    </row>
    <row r="144" spans="1:11" ht="20.100000000000001" customHeight="1">
      <c r="A144" s="4" t="s">
        <v>295</v>
      </c>
      <c r="B144" s="5" t="s">
        <v>296</v>
      </c>
      <c r="C144" s="3">
        <v>80</v>
      </c>
      <c r="D144" s="3">
        <v>80</v>
      </c>
      <c r="E144" s="3">
        <v>77</v>
      </c>
      <c r="F144" s="3">
        <v>80</v>
      </c>
      <c r="G144" s="3">
        <v>71</v>
      </c>
      <c r="H144" s="3">
        <v>69</v>
      </c>
      <c r="I144" s="3">
        <v>71</v>
      </c>
      <c r="J144" s="3">
        <v>88</v>
      </c>
      <c r="K144" s="3">
        <v>86</v>
      </c>
    </row>
    <row r="145" spans="1:11" ht="20.100000000000001" customHeight="1">
      <c r="A145" s="4" t="s">
        <v>297</v>
      </c>
      <c r="B145" s="5" t="s">
        <v>298</v>
      </c>
      <c r="C145" s="3">
        <v>83</v>
      </c>
      <c r="D145" s="3">
        <v>77</v>
      </c>
      <c r="E145" s="3">
        <v>71</v>
      </c>
      <c r="F145" s="3">
        <v>77</v>
      </c>
      <c r="G145" s="3">
        <v>74</v>
      </c>
      <c r="H145" s="3">
        <v>80</v>
      </c>
      <c r="I145" s="3">
        <v>67</v>
      </c>
      <c r="J145" s="3">
        <v>79</v>
      </c>
      <c r="K145" s="3">
        <v>89</v>
      </c>
    </row>
    <row r="146" spans="1:11" ht="20.100000000000001" customHeight="1">
      <c r="A146" s="4" t="s">
        <v>299</v>
      </c>
      <c r="B146" s="5" t="s">
        <v>300</v>
      </c>
      <c r="C146" s="3">
        <v>85</v>
      </c>
      <c r="D146" s="3">
        <v>82</v>
      </c>
      <c r="E146" s="3">
        <v>77</v>
      </c>
      <c r="F146" s="3">
        <v>87</v>
      </c>
      <c r="G146" s="3">
        <v>69</v>
      </c>
      <c r="H146" s="3">
        <v>76</v>
      </c>
      <c r="I146" s="3">
        <v>77</v>
      </c>
      <c r="J146" s="3">
        <v>80</v>
      </c>
      <c r="K146" s="3">
        <v>87</v>
      </c>
    </row>
    <row r="147" spans="1:11" ht="20.100000000000001" customHeight="1">
      <c r="A147" s="4" t="s">
        <v>301</v>
      </c>
      <c r="B147" s="5" t="s">
        <v>302</v>
      </c>
      <c r="C147" s="3">
        <v>77</v>
      </c>
      <c r="D147" s="3">
        <v>83</v>
      </c>
      <c r="E147" s="3">
        <v>83</v>
      </c>
      <c r="F147" s="3">
        <v>86</v>
      </c>
      <c r="G147" s="3">
        <v>77</v>
      </c>
      <c r="H147" s="3">
        <v>80</v>
      </c>
      <c r="I147" s="3">
        <v>77</v>
      </c>
      <c r="J147" s="3">
        <v>67</v>
      </c>
      <c r="K147" s="3">
        <v>59</v>
      </c>
    </row>
    <row r="148" spans="1:11" s="9" customFormat="1" ht="20.100000000000001" customHeight="1">
      <c r="A148" s="13" t="s">
        <v>303</v>
      </c>
      <c r="B148" s="14" t="s">
        <v>304</v>
      </c>
      <c r="C148" s="15">
        <v>80</v>
      </c>
      <c r="D148" s="15">
        <v>71</v>
      </c>
      <c r="E148" s="15">
        <v>77</v>
      </c>
      <c r="F148" s="15">
        <v>89</v>
      </c>
      <c r="G148" s="15">
        <v>77</v>
      </c>
      <c r="H148" s="15">
        <v>83</v>
      </c>
      <c r="I148" s="15">
        <v>69</v>
      </c>
      <c r="J148" s="15">
        <v>71</v>
      </c>
      <c r="K148" s="15">
        <v>66</v>
      </c>
    </row>
    <row r="149" spans="1:11" ht="20.100000000000001" customHeight="1">
      <c r="A149" s="4" t="s">
        <v>305</v>
      </c>
      <c r="B149" s="5" t="s">
        <v>306</v>
      </c>
      <c r="C149" s="3">
        <v>85</v>
      </c>
      <c r="D149" s="3">
        <v>88</v>
      </c>
      <c r="E149" s="3">
        <v>88</v>
      </c>
      <c r="F149" s="3">
        <v>91</v>
      </c>
      <c r="G149" s="3">
        <v>83</v>
      </c>
      <c r="H149" s="3">
        <v>83</v>
      </c>
      <c r="I149" s="3">
        <v>80</v>
      </c>
      <c r="J149" s="3">
        <v>69</v>
      </c>
      <c r="K149" s="3">
        <v>74</v>
      </c>
    </row>
    <row r="150" spans="1:11" ht="20.100000000000001" customHeight="1">
      <c r="A150" s="4" t="s">
        <v>307</v>
      </c>
      <c r="B150" s="5" t="s">
        <v>308</v>
      </c>
      <c r="C150" s="3">
        <v>90</v>
      </c>
      <c r="D150" s="3">
        <v>88</v>
      </c>
      <c r="E150" s="3">
        <v>82</v>
      </c>
      <c r="F150" s="3">
        <v>89</v>
      </c>
      <c r="G150" s="3">
        <v>73</v>
      </c>
      <c r="H150" s="3">
        <v>75</v>
      </c>
      <c r="I150" s="3">
        <v>86</v>
      </c>
      <c r="J150" s="3">
        <v>96</v>
      </c>
      <c r="K150" s="3">
        <v>83</v>
      </c>
    </row>
    <row r="151" spans="1:11" s="9" customFormat="1" ht="20.100000000000001" customHeight="1">
      <c r="A151" s="13" t="s">
        <v>309</v>
      </c>
      <c r="B151" s="14" t="s">
        <v>310</v>
      </c>
      <c r="C151" s="15">
        <v>77</v>
      </c>
      <c r="D151" s="15">
        <v>69</v>
      </c>
      <c r="E151" s="15">
        <v>98</v>
      </c>
      <c r="F151" s="15">
        <v>93</v>
      </c>
      <c r="G151" s="15">
        <v>85</v>
      </c>
      <c r="H151" s="15">
        <v>88</v>
      </c>
      <c r="I151" s="15">
        <v>89</v>
      </c>
      <c r="J151" s="15">
        <v>73</v>
      </c>
      <c r="K151" s="15">
        <v>82</v>
      </c>
    </row>
    <row r="152" spans="1:11" ht="20.100000000000001" customHeight="1">
      <c r="A152" s="4" t="s">
        <v>311</v>
      </c>
      <c r="B152" s="5" t="s">
        <v>312</v>
      </c>
      <c r="C152" s="3">
        <v>87</v>
      </c>
      <c r="D152" s="3">
        <v>89</v>
      </c>
      <c r="E152" s="3">
        <v>89</v>
      </c>
      <c r="F152" s="3">
        <v>87</v>
      </c>
      <c r="G152" s="3">
        <v>89</v>
      </c>
      <c r="H152" s="3">
        <v>89</v>
      </c>
      <c r="I152" s="3">
        <v>87</v>
      </c>
      <c r="J152" s="3">
        <v>82</v>
      </c>
      <c r="K152" s="3">
        <v>72</v>
      </c>
    </row>
    <row r="153" spans="1:11" ht="20.100000000000001" customHeight="1">
      <c r="A153" s="4" t="s">
        <v>313</v>
      </c>
      <c r="B153" s="5" t="s">
        <v>314</v>
      </c>
      <c r="C153" s="3">
        <v>83</v>
      </c>
      <c r="D153" s="3">
        <v>74</v>
      </c>
      <c r="E153" s="3">
        <v>80</v>
      </c>
      <c r="F153" s="3">
        <v>77</v>
      </c>
      <c r="G153" s="3">
        <v>80</v>
      </c>
      <c r="H153" s="3">
        <v>80</v>
      </c>
      <c r="I153" s="3">
        <v>77</v>
      </c>
      <c r="J153" s="3">
        <v>70</v>
      </c>
      <c r="K153" s="3">
        <v>60</v>
      </c>
    </row>
    <row r="154" spans="1:11" s="9" customFormat="1" ht="20.100000000000001" customHeight="1">
      <c r="A154" s="13" t="s">
        <v>315</v>
      </c>
      <c r="B154" s="14" t="s">
        <v>316</v>
      </c>
      <c r="C154" s="15">
        <v>77</v>
      </c>
      <c r="D154" s="15">
        <v>74</v>
      </c>
      <c r="E154" s="15">
        <v>80</v>
      </c>
      <c r="F154" s="15">
        <v>77</v>
      </c>
      <c r="G154" s="15">
        <v>83</v>
      </c>
      <c r="H154" s="15">
        <v>83</v>
      </c>
      <c r="I154" s="15">
        <v>80</v>
      </c>
      <c r="J154" s="15">
        <v>70</v>
      </c>
      <c r="K154" s="15">
        <v>66</v>
      </c>
    </row>
    <row r="155" spans="1:11" ht="20.100000000000001" customHeight="1">
      <c r="A155" s="4" t="s">
        <v>317</v>
      </c>
      <c r="B155" s="5" t="s">
        <v>318</v>
      </c>
      <c r="C155" s="3">
        <v>77</v>
      </c>
      <c r="D155" s="3">
        <v>85</v>
      </c>
      <c r="E155" s="3">
        <v>80</v>
      </c>
      <c r="F155" s="3">
        <v>88</v>
      </c>
      <c r="G155" s="3">
        <v>71</v>
      </c>
      <c r="H155" s="3">
        <v>73</v>
      </c>
      <c r="I155" s="3">
        <v>78</v>
      </c>
      <c r="J155" s="3">
        <v>89</v>
      </c>
      <c r="K155" s="3">
        <v>69</v>
      </c>
    </row>
    <row r="156" spans="1:11" ht="20.100000000000001" customHeight="1">
      <c r="A156" s="4" t="s">
        <v>319</v>
      </c>
      <c r="B156" s="5" t="s">
        <v>320</v>
      </c>
      <c r="C156" s="3">
        <v>77</v>
      </c>
      <c r="D156" s="3">
        <v>77</v>
      </c>
      <c r="E156" s="3">
        <v>80</v>
      </c>
      <c r="F156" s="3">
        <v>86</v>
      </c>
      <c r="G156" s="3">
        <v>83</v>
      </c>
      <c r="H156" s="3">
        <v>80</v>
      </c>
      <c r="I156" s="3">
        <v>80</v>
      </c>
      <c r="J156" s="3">
        <v>70</v>
      </c>
      <c r="K156" s="3">
        <v>66</v>
      </c>
    </row>
    <row r="157" spans="1:11" ht="20.100000000000001" customHeight="1">
      <c r="A157" s="4" t="s">
        <v>321</v>
      </c>
      <c r="B157" s="5" t="s">
        <v>322</v>
      </c>
      <c r="C157" s="3">
        <v>88</v>
      </c>
      <c r="D157" s="3">
        <v>80</v>
      </c>
      <c r="E157" s="3">
        <v>85</v>
      </c>
      <c r="F157" s="3">
        <v>95</v>
      </c>
      <c r="G157" s="3">
        <v>75</v>
      </c>
      <c r="H157" s="3">
        <v>76</v>
      </c>
      <c r="I157" s="3">
        <v>81</v>
      </c>
      <c r="J157" s="3">
        <v>80</v>
      </c>
      <c r="K157" s="3">
        <v>69</v>
      </c>
    </row>
    <row r="158" spans="1:11" ht="20.100000000000001" customHeight="1">
      <c r="A158" s="4" t="s">
        <v>323</v>
      </c>
      <c r="B158" s="5" t="s">
        <v>324</v>
      </c>
      <c r="C158" s="3">
        <v>77</v>
      </c>
      <c r="D158" s="3">
        <v>77</v>
      </c>
      <c r="E158" s="3">
        <v>80</v>
      </c>
      <c r="F158" s="3">
        <v>83</v>
      </c>
      <c r="G158" s="3">
        <v>77</v>
      </c>
      <c r="H158" s="3">
        <v>89</v>
      </c>
      <c r="I158" s="3">
        <v>83</v>
      </c>
      <c r="J158" s="3">
        <v>71</v>
      </c>
      <c r="K158" s="3">
        <v>71</v>
      </c>
    </row>
    <row r="159" spans="1:11" ht="20.100000000000001" customHeight="1">
      <c r="A159" s="4" t="s">
        <v>325</v>
      </c>
      <c r="B159" s="5" t="s">
        <v>326</v>
      </c>
      <c r="C159" s="3">
        <v>77</v>
      </c>
      <c r="D159" s="3">
        <v>83</v>
      </c>
      <c r="E159" s="3">
        <v>86</v>
      </c>
      <c r="F159" s="3">
        <v>77</v>
      </c>
      <c r="G159" s="3">
        <v>69</v>
      </c>
      <c r="H159" s="3">
        <v>69</v>
      </c>
      <c r="I159" s="3">
        <v>86</v>
      </c>
      <c r="J159" s="3">
        <v>73</v>
      </c>
      <c r="K159" s="3">
        <v>72</v>
      </c>
    </row>
    <row r="160" spans="1:11" ht="20.100000000000001" customHeight="1">
      <c r="A160" s="4" t="s">
        <v>327</v>
      </c>
      <c r="B160" s="5" t="s">
        <v>328</v>
      </c>
      <c r="C160" s="3">
        <v>83</v>
      </c>
      <c r="D160" s="3">
        <v>57</v>
      </c>
      <c r="E160" s="3">
        <v>78</v>
      </c>
      <c r="F160" s="3">
        <v>100</v>
      </c>
      <c r="G160" s="3">
        <v>72</v>
      </c>
      <c r="H160" s="3">
        <v>86</v>
      </c>
      <c r="I160" s="3">
        <v>76</v>
      </c>
      <c r="J160" s="3">
        <v>67</v>
      </c>
      <c r="K160" s="3">
        <v>58</v>
      </c>
    </row>
    <row r="161" spans="1:11" ht="20.100000000000001" customHeight="1">
      <c r="A161" s="4" t="s">
        <v>329</v>
      </c>
      <c r="B161" s="5" t="s">
        <v>330</v>
      </c>
      <c r="C161" s="3">
        <v>80</v>
      </c>
      <c r="D161" s="3">
        <v>77</v>
      </c>
      <c r="E161" s="3">
        <v>80</v>
      </c>
      <c r="F161" s="3">
        <v>83</v>
      </c>
      <c r="G161" s="3">
        <v>83</v>
      </c>
      <c r="H161" s="3">
        <v>83</v>
      </c>
      <c r="I161" s="3">
        <v>83</v>
      </c>
      <c r="J161" s="3">
        <v>68</v>
      </c>
      <c r="K161" s="3">
        <v>65</v>
      </c>
    </row>
    <row r="162" spans="1:11" s="9" customFormat="1" ht="20.100000000000001" customHeight="1">
      <c r="A162" s="13" t="s">
        <v>331</v>
      </c>
      <c r="B162" s="14" t="s">
        <v>332</v>
      </c>
      <c r="C162" s="15">
        <v>77</v>
      </c>
      <c r="D162" s="15">
        <v>77</v>
      </c>
      <c r="E162" s="15">
        <v>77</v>
      </c>
      <c r="F162" s="15">
        <v>83</v>
      </c>
      <c r="G162" s="15">
        <v>71</v>
      </c>
      <c r="H162" s="15">
        <v>74</v>
      </c>
      <c r="I162" s="15">
        <v>67</v>
      </c>
      <c r="J162" s="15">
        <v>78</v>
      </c>
      <c r="K162" s="15">
        <v>77</v>
      </c>
    </row>
    <row r="163" spans="1:11" ht="20.100000000000001" customHeight="1">
      <c r="A163" s="4" t="s">
        <v>333</v>
      </c>
      <c r="B163" s="5" t="s">
        <v>334</v>
      </c>
      <c r="C163" s="3">
        <v>84</v>
      </c>
      <c r="D163" s="3">
        <v>82</v>
      </c>
      <c r="E163" s="3">
        <v>75</v>
      </c>
      <c r="F163" s="3">
        <v>73</v>
      </c>
      <c r="G163" s="3">
        <v>70</v>
      </c>
      <c r="H163" s="3">
        <v>70</v>
      </c>
      <c r="I163" s="3">
        <v>72</v>
      </c>
      <c r="J163" s="3">
        <v>73</v>
      </c>
      <c r="K163" s="3">
        <v>100</v>
      </c>
    </row>
    <row r="164" spans="1:11" s="9" customFormat="1" ht="20.100000000000001" customHeight="1">
      <c r="A164" s="13" t="s">
        <v>335</v>
      </c>
      <c r="B164" s="14" t="s">
        <v>336</v>
      </c>
      <c r="C164" s="15">
        <v>80</v>
      </c>
      <c r="D164" s="15">
        <v>89</v>
      </c>
      <c r="E164" s="15">
        <v>86</v>
      </c>
      <c r="F164" s="15">
        <v>83</v>
      </c>
      <c r="G164" s="15">
        <v>80</v>
      </c>
      <c r="H164" s="15">
        <v>69</v>
      </c>
      <c r="I164" s="15">
        <v>77</v>
      </c>
      <c r="J164" s="15">
        <v>70</v>
      </c>
      <c r="K164" s="15">
        <v>62</v>
      </c>
    </row>
  </sheetData>
  <conditionalFormatting sqref="C2:K164">
    <cfRule type="colorScale" priority="1">
      <colorScale>
        <cfvo type="min"/>
        <cfvo type="percentile" val="50"/>
        <cfvo type="max"/>
        <color rgb="FFFCE8E6"/>
        <color rgb="FFFFF4CC"/>
        <color rgb="FFD9EAD3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workbookViewId="0"/>
  </sheetViews>
  <sheetFormatPr defaultRowHeight="14.25"/>
  <cols>
    <col min="1" max="1" width="22" customWidth="1"/>
    <col min="2" max="14" width="13" customWidth="1"/>
    <col min="15" max="15" width="42" customWidth="1"/>
  </cols>
  <sheetData>
    <row r="1" spans="1:15" ht="30" customHeight="1">
      <c r="A1" s="6" t="s">
        <v>337</v>
      </c>
      <c r="B1" s="6" t="s">
        <v>338</v>
      </c>
      <c r="C1" s="6" t="s">
        <v>339</v>
      </c>
      <c r="D1" s="6" t="s">
        <v>340</v>
      </c>
      <c r="E1" s="6" t="s">
        <v>341</v>
      </c>
      <c r="F1" s="6" t="s">
        <v>342</v>
      </c>
      <c r="G1" s="6" t="s">
        <v>343</v>
      </c>
      <c r="H1" s="6" t="s">
        <v>344</v>
      </c>
      <c r="I1" s="6" t="s">
        <v>345</v>
      </c>
      <c r="J1" s="6" t="s">
        <v>346</v>
      </c>
      <c r="K1" s="6" t="s">
        <v>347</v>
      </c>
      <c r="L1" s="6" t="s">
        <v>348</v>
      </c>
      <c r="M1" s="6" t="s">
        <v>349</v>
      </c>
      <c r="N1" s="6" t="s">
        <v>350</v>
      </c>
      <c r="O1" s="6" t="s">
        <v>351</v>
      </c>
    </row>
    <row r="2" spans="1:15" ht="30" customHeight="1">
      <c r="A2" t="s">
        <v>17</v>
      </c>
      <c r="B2" s="2">
        <v>97</v>
      </c>
      <c r="C2" s="2">
        <v>100</v>
      </c>
      <c r="D2" s="2">
        <v>100</v>
      </c>
      <c r="E2" s="2">
        <v>100</v>
      </c>
      <c r="F2" s="2">
        <v>96</v>
      </c>
      <c r="G2" s="2">
        <v>95</v>
      </c>
      <c r="H2" s="2">
        <v>89</v>
      </c>
      <c r="I2" s="2">
        <v>81</v>
      </c>
      <c r="J2" s="2">
        <v>86</v>
      </c>
      <c r="K2" s="2">
        <v>91</v>
      </c>
      <c r="L2" s="2">
        <v>74</v>
      </c>
      <c r="M2" s="2">
        <v>91</v>
      </c>
      <c r="N2" s="2">
        <v>80</v>
      </c>
      <c r="O2" s="7" t="s">
        <v>352</v>
      </c>
    </row>
    <row r="3" spans="1:15" ht="30" customHeight="1">
      <c r="A3" t="s">
        <v>191</v>
      </c>
      <c r="B3" s="2">
        <v>94</v>
      </c>
      <c r="C3" s="2">
        <v>94</v>
      </c>
      <c r="D3" s="2">
        <v>100</v>
      </c>
      <c r="E3" s="2">
        <v>100</v>
      </c>
      <c r="F3" s="2">
        <v>94</v>
      </c>
      <c r="G3" s="2">
        <v>86</v>
      </c>
      <c r="H3" s="2">
        <v>90</v>
      </c>
      <c r="I3" s="2">
        <v>73</v>
      </c>
      <c r="J3" s="2">
        <v>100</v>
      </c>
      <c r="K3" s="2">
        <v>93</v>
      </c>
      <c r="L3" s="2">
        <v>100</v>
      </c>
      <c r="M3" s="2">
        <v>93</v>
      </c>
      <c r="N3" s="2">
        <v>82</v>
      </c>
      <c r="O3" s="7" t="s">
        <v>353</v>
      </c>
    </row>
    <row r="4" spans="1:15" ht="30" customHeight="1">
      <c r="A4" t="s">
        <v>327</v>
      </c>
      <c r="B4" s="2">
        <v>93</v>
      </c>
      <c r="C4" s="2">
        <v>83</v>
      </c>
      <c r="D4" s="2">
        <v>88</v>
      </c>
      <c r="E4" s="2">
        <v>57</v>
      </c>
      <c r="F4" s="2">
        <v>93</v>
      </c>
      <c r="G4" s="2">
        <v>78</v>
      </c>
      <c r="H4" s="2">
        <v>100</v>
      </c>
      <c r="I4" s="2">
        <v>100</v>
      </c>
      <c r="J4" s="2">
        <v>87</v>
      </c>
      <c r="K4" s="2">
        <v>100</v>
      </c>
      <c r="L4" s="2">
        <v>67</v>
      </c>
      <c r="M4" s="2">
        <v>83</v>
      </c>
      <c r="N4" s="2">
        <v>58</v>
      </c>
      <c r="O4" s="7" t="s">
        <v>354</v>
      </c>
    </row>
    <row r="5" spans="1:15" ht="30" customHeight="1">
      <c r="A5" t="s">
        <v>19</v>
      </c>
      <c r="B5" s="2">
        <v>95</v>
      </c>
      <c r="C5" s="2">
        <v>88</v>
      </c>
      <c r="D5" s="2">
        <v>88</v>
      </c>
      <c r="E5" s="2">
        <v>69</v>
      </c>
      <c r="F5" s="2">
        <v>100</v>
      </c>
      <c r="G5" s="2">
        <v>100</v>
      </c>
      <c r="H5" s="2">
        <v>100</v>
      </c>
      <c r="I5" s="2">
        <v>97</v>
      </c>
      <c r="J5" s="2">
        <v>84</v>
      </c>
      <c r="K5" s="2">
        <v>94</v>
      </c>
      <c r="L5" s="2">
        <v>80</v>
      </c>
      <c r="M5" s="2">
        <v>84</v>
      </c>
      <c r="N5" s="2">
        <v>70</v>
      </c>
      <c r="O5" s="7" t="s">
        <v>355</v>
      </c>
    </row>
    <row r="6" spans="1:15" ht="30" customHeight="1">
      <c r="A6" t="s">
        <v>161</v>
      </c>
      <c r="B6" s="2">
        <v>100</v>
      </c>
      <c r="C6" s="2">
        <v>92</v>
      </c>
      <c r="D6" s="2">
        <v>95</v>
      </c>
      <c r="E6" s="2">
        <v>94</v>
      </c>
      <c r="F6" s="2">
        <v>95</v>
      </c>
      <c r="G6" s="2">
        <v>90</v>
      </c>
      <c r="H6" s="2">
        <v>96</v>
      </c>
      <c r="I6" s="2">
        <v>88</v>
      </c>
      <c r="J6" s="2">
        <v>92</v>
      </c>
      <c r="K6" s="2">
        <v>92</v>
      </c>
      <c r="L6" s="2">
        <v>90</v>
      </c>
      <c r="M6" s="2">
        <v>99</v>
      </c>
      <c r="N6" s="2">
        <v>97</v>
      </c>
      <c r="O6" s="7" t="s">
        <v>356</v>
      </c>
    </row>
    <row r="7" spans="1:15" ht="30" customHeight="1">
      <c r="A7" t="s">
        <v>179</v>
      </c>
      <c r="B7" s="2">
        <v>90</v>
      </c>
      <c r="C7" s="2">
        <v>62</v>
      </c>
      <c r="D7" s="2">
        <v>93</v>
      </c>
      <c r="E7" s="2">
        <v>84</v>
      </c>
      <c r="F7" s="2">
        <v>99</v>
      </c>
      <c r="G7" s="2">
        <v>100</v>
      </c>
      <c r="H7" s="2">
        <v>98</v>
      </c>
      <c r="I7" s="2">
        <v>94</v>
      </c>
      <c r="J7" s="2">
        <v>90</v>
      </c>
      <c r="K7" s="2">
        <v>92</v>
      </c>
      <c r="L7" s="2">
        <v>84</v>
      </c>
      <c r="M7" s="2">
        <v>86</v>
      </c>
      <c r="N7" s="2">
        <v>64</v>
      </c>
      <c r="O7" s="7" t="s">
        <v>357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.25"/>
  <cols>
    <col min="1" max="1" width="18" customWidth="1"/>
    <col min="2" max="10" width="11" customWidth="1"/>
    <col min="11" max="11" width="38" customWidth="1"/>
  </cols>
  <sheetData>
    <row r="1" spans="1:11" ht="15">
      <c r="A1" s="8" t="s">
        <v>358</v>
      </c>
      <c r="B1" s="8" t="s">
        <v>359</v>
      </c>
      <c r="C1" s="8" t="s">
        <v>360</v>
      </c>
      <c r="D1" s="8" t="s">
        <v>361</v>
      </c>
      <c r="E1" s="8" t="s">
        <v>362</v>
      </c>
      <c r="F1" s="8" t="s">
        <v>363</v>
      </c>
      <c r="G1" s="8" t="s">
        <v>364</v>
      </c>
      <c r="H1" s="8" t="s">
        <v>365</v>
      </c>
      <c r="I1" s="8" t="s">
        <v>366</v>
      </c>
      <c r="J1" s="8" t="s">
        <v>367</v>
      </c>
      <c r="K1" s="8" t="s">
        <v>368</v>
      </c>
    </row>
    <row r="2" spans="1:11">
      <c r="A2" t="s">
        <v>2</v>
      </c>
      <c r="B2" s="11">
        <f>AVERAGE('Realistic Ratings'!C2:C164)</f>
        <v>82.99386503067484</v>
      </c>
      <c r="C2" s="2">
        <f>MIN('Realistic Ratings'!C2:C164)</f>
        <v>62</v>
      </c>
      <c r="D2" s="2">
        <f>MAX('Realistic Ratings'!C2:C164)</f>
        <v>100</v>
      </c>
      <c r="E2" s="2">
        <f>COUNTIF('Realistic Ratings'!C2:C164,"&lt;60")</f>
        <v>0</v>
      </c>
      <c r="F2" s="2">
        <f>COUNTIFS('Realistic Ratings'!C2:C164,"&gt;=60",'Realistic Ratings'!C2:C164,"&lt;=69")</f>
        <v>4</v>
      </c>
      <c r="G2" s="2">
        <f>COUNTIFS('Realistic Ratings'!C2:C164,"&gt;=70",'Realistic Ratings'!C2:C164,"&lt;=79")</f>
        <v>37</v>
      </c>
      <c r="H2" s="2">
        <f>COUNTIFS('Realistic Ratings'!C2:C164,"&gt;=80",'Realistic Ratings'!C2:C164,"&lt;=89")</f>
        <v>100</v>
      </c>
      <c r="I2" s="2">
        <f>COUNTIFS('Realistic Ratings'!C2:C164,"&gt;=90",'Realistic Ratings'!C2:C164,"&lt;=99")</f>
        <v>19</v>
      </c>
      <c r="J2" s="2">
        <f>COUNTIF('Realistic Ratings'!C2:C164,100)</f>
        <v>3</v>
      </c>
      <c r="K2" s="7" t="s">
        <v>369</v>
      </c>
    </row>
    <row r="3" spans="1:11">
      <c r="A3" t="s">
        <v>3</v>
      </c>
      <c r="B3" s="11">
        <f>AVERAGE('Realistic Ratings'!D2:D164)</f>
        <v>82.809815950920239</v>
      </c>
      <c r="C3" s="2">
        <f>MIN('Realistic Ratings'!D2:D164)</f>
        <v>57</v>
      </c>
      <c r="D3" s="2">
        <f>MAX('Realistic Ratings'!D2:D164)</f>
        <v>100</v>
      </c>
      <c r="E3" s="2">
        <f>COUNTIF('Realistic Ratings'!D2:D164,"&lt;60")</f>
        <v>1</v>
      </c>
      <c r="F3" s="2">
        <f>COUNTIFS('Realistic Ratings'!D2:D164,"&gt;=60",'Realistic Ratings'!D2:D164,"&lt;=69")</f>
        <v>10</v>
      </c>
      <c r="G3" s="2">
        <f>COUNTIFS('Realistic Ratings'!D2:D164,"&gt;=70",'Realistic Ratings'!D2:D164,"&lt;=79")</f>
        <v>46</v>
      </c>
      <c r="H3" s="2">
        <f>COUNTIFS('Realistic Ratings'!D2:D164,"&gt;=80",'Realistic Ratings'!D2:D164,"&lt;=89")</f>
        <v>71</v>
      </c>
      <c r="I3" s="2">
        <f>COUNTIFS('Realistic Ratings'!D2:D164,"&gt;=90",'Realistic Ratings'!D2:D164,"&lt;=99")</f>
        <v>33</v>
      </c>
      <c r="J3" s="2">
        <f>COUNTIF('Realistic Ratings'!D2:D164,100)</f>
        <v>2</v>
      </c>
      <c r="K3" s="7" t="s">
        <v>370</v>
      </c>
    </row>
    <row r="4" spans="1:11">
      <c r="A4" t="s">
        <v>4</v>
      </c>
      <c r="B4" s="11">
        <f>AVERAGE('Realistic Ratings'!E2:E164)</f>
        <v>82.325153374233125</v>
      </c>
      <c r="C4" s="2">
        <f>MIN('Realistic Ratings'!E2:E164)</f>
        <v>63</v>
      </c>
      <c r="D4" s="2">
        <f>MAX('Realistic Ratings'!E2:E164)</f>
        <v>100</v>
      </c>
      <c r="E4" s="2">
        <f>COUNTIF('Realistic Ratings'!E2:E164,"&lt;60")</f>
        <v>0</v>
      </c>
      <c r="F4" s="2">
        <f>COUNTIFS('Realistic Ratings'!E2:E164,"&gt;=60",'Realistic Ratings'!E2:E164,"&lt;=69")</f>
        <v>7</v>
      </c>
      <c r="G4" s="2">
        <f>COUNTIFS('Realistic Ratings'!E2:E164,"&gt;=70",'Realistic Ratings'!E2:E164,"&lt;=79")</f>
        <v>50</v>
      </c>
      <c r="H4" s="2">
        <f>COUNTIFS('Realistic Ratings'!E2:E164,"&gt;=80",'Realistic Ratings'!E2:E164,"&lt;=89")</f>
        <v>76</v>
      </c>
      <c r="I4" s="2">
        <f>COUNTIFS('Realistic Ratings'!E2:E164,"&gt;=90",'Realistic Ratings'!E2:E164,"&lt;=99")</f>
        <v>28</v>
      </c>
      <c r="J4" s="2">
        <f>COUNTIF('Realistic Ratings'!E2:E164,100)</f>
        <v>2</v>
      </c>
      <c r="K4" s="7" t="s">
        <v>371</v>
      </c>
    </row>
    <row r="5" spans="1:11">
      <c r="A5" t="s">
        <v>5</v>
      </c>
      <c r="B5" s="11">
        <f>AVERAGE('Realistic Ratings'!F2:F164)</f>
        <v>81.601226993865026</v>
      </c>
      <c r="C5" s="2">
        <f>MIN('Realistic Ratings'!F2:F164)</f>
        <v>61</v>
      </c>
      <c r="D5" s="2">
        <f>MAX('Realistic Ratings'!F2:F164)</f>
        <v>100</v>
      </c>
      <c r="E5" s="2">
        <f>COUNTIF('Realistic Ratings'!F2:F164,"&lt;60")</f>
        <v>0</v>
      </c>
      <c r="F5" s="2">
        <f>COUNTIFS('Realistic Ratings'!F2:F164,"&gt;=60",'Realistic Ratings'!F2:F164,"&lt;=69")</f>
        <v>8</v>
      </c>
      <c r="G5" s="2">
        <f>COUNTIFS('Realistic Ratings'!F2:F164,"&gt;=70",'Realistic Ratings'!F2:F164,"&lt;=79")</f>
        <v>56</v>
      </c>
      <c r="H5" s="2">
        <f>COUNTIFS('Realistic Ratings'!F2:F164,"&gt;=80",'Realistic Ratings'!F2:F164,"&lt;=89")</f>
        <v>77</v>
      </c>
      <c r="I5" s="2">
        <f>COUNTIFS('Realistic Ratings'!F2:F164,"&gt;=90",'Realistic Ratings'!F2:F164,"&lt;=99")</f>
        <v>21</v>
      </c>
      <c r="J5" s="2">
        <f>COUNTIF('Realistic Ratings'!F2:F164,100)</f>
        <v>1</v>
      </c>
      <c r="K5" s="7" t="s">
        <v>372</v>
      </c>
    </row>
    <row r="6" spans="1:11">
      <c r="A6" t="s">
        <v>6</v>
      </c>
      <c r="B6" s="11">
        <f>AVERAGE('Realistic Ratings'!G2:G164)</f>
        <v>78.877300613496928</v>
      </c>
      <c r="C6" s="2">
        <f>MIN('Realistic Ratings'!G2:G164)</f>
        <v>55</v>
      </c>
      <c r="D6" s="2">
        <f>MAX('Realistic Ratings'!G2:G164)</f>
        <v>100</v>
      </c>
      <c r="E6" s="2">
        <f>COUNTIF('Realistic Ratings'!G2:G164,"&lt;60")</f>
        <v>3</v>
      </c>
      <c r="F6" s="2">
        <f>COUNTIFS('Realistic Ratings'!G2:G164,"&gt;=60",'Realistic Ratings'!G2:G164,"&lt;=69")</f>
        <v>26</v>
      </c>
      <c r="G6" s="2">
        <f>COUNTIFS('Realistic Ratings'!G2:G164,"&gt;=70",'Realistic Ratings'!G2:G164,"&lt;=79")</f>
        <v>52</v>
      </c>
      <c r="H6" s="2">
        <f>COUNTIFS('Realistic Ratings'!G2:G164,"&gt;=80",'Realistic Ratings'!G2:G164,"&lt;=89")</f>
        <v>60</v>
      </c>
      <c r="I6" s="2">
        <f>COUNTIFS('Realistic Ratings'!G2:G164,"&gt;=90",'Realistic Ratings'!G2:G164,"&lt;=99")</f>
        <v>20</v>
      </c>
      <c r="J6" s="2">
        <f>COUNTIF('Realistic Ratings'!G2:G164,100)</f>
        <v>2</v>
      </c>
      <c r="K6" s="7" t="s">
        <v>373</v>
      </c>
    </row>
    <row r="7" spans="1:11">
      <c r="A7" t="s">
        <v>7</v>
      </c>
      <c r="B7" s="11">
        <f>AVERAGE('Realistic Ratings'!H2:H164)</f>
        <v>77.257668711656436</v>
      </c>
      <c r="C7" s="2">
        <f>MIN('Realistic Ratings'!H2:H164)</f>
        <v>56</v>
      </c>
      <c r="D7" s="2">
        <f>MAX('Realistic Ratings'!H2:H164)</f>
        <v>100</v>
      </c>
      <c r="E7" s="2">
        <f>COUNTIF('Realistic Ratings'!H2:H164,"&lt;60")</f>
        <v>2</v>
      </c>
      <c r="F7" s="2">
        <f>COUNTIFS('Realistic Ratings'!H2:H164,"&gt;=60",'Realistic Ratings'!H2:H164,"&lt;=69")</f>
        <v>35</v>
      </c>
      <c r="G7" s="2">
        <f>COUNTIFS('Realistic Ratings'!H2:H164,"&gt;=70",'Realistic Ratings'!H2:H164,"&lt;=79")</f>
        <v>58</v>
      </c>
      <c r="H7" s="2">
        <f>COUNTIFS('Realistic Ratings'!H2:H164,"&gt;=80",'Realistic Ratings'!H2:H164,"&lt;=89")</f>
        <v>56</v>
      </c>
      <c r="I7" s="2">
        <f>COUNTIFS('Realistic Ratings'!H2:H164,"&gt;=90",'Realistic Ratings'!H2:H164,"&lt;=99")</f>
        <v>10</v>
      </c>
      <c r="J7" s="2">
        <f>COUNTIF('Realistic Ratings'!H2:H164,100)</f>
        <v>2</v>
      </c>
      <c r="K7" s="7" t="s">
        <v>374</v>
      </c>
    </row>
    <row r="8" spans="1:11">
      <c r="A8" t="s">
        <v>8</v>
      </c>
      <c r="B8" s="11">
        <f>AVERAGE('Realistic Ratings'!I2:I164)</f>
        <v>80.128834355828218</v>
      </c>
      <c r="C8" s="2">
        <f>MIN('Realistic Ratings'!I2:I164)</f>
        <v>63</v>
      </c>
      <c r="D8" s="2">
        <f>MAX('Realistic Ratings'!I2:I164)</f>
        <v>100</v>
      </c>
      <c r="E8" s="2">
        <f>COUNTIF('Realistic Ratings'!I2:I164,"&lt;60")</f>
        <v>0</v>
      </c>
      <c r="F8" s="2">
        <f>COUNTIFS('Realistic Ratings'!I2:I164,"&gt;=60",'Realistic Ratings'!I2:I164,"&lt;=69")</f>
        <v>21</v>
      </c>
      <c r="G8" s="2">
        <f>COUNTIFS('Realistic Ratings'!I2:I164,"&gt;=70",'Realistic Ratings'!I2:I164,"&lt;=79")</f>
        <v>53</v>
      </c>
      <c r="H8" s="2">
        <f>COUNTIFS('Realistic Ratings'!I2:I164,"&gt;=80",'Realistic Ratings'!I2:I164,"&lt;=89")</f>
        <v>65</v>
      </c>
      <c r="I8" s="2">
        <f>COUNTIFS('Realistic Ratings'!I2:I164,"&gt;=90",'Realistic Ratings'!I2:I164,"&lt;=99")</f>
        <v>22</v>
      </c>
      <c r="J8" s="2">
        <f>COUNTIF('Realistic Ratings'!I2:I164,100)</f>
        <v>2</v>
      </c>
      <c r="K8" s="7" t="s">
        <v>375</v>
      </c>
    </row>
    <row r="9" spans="1:11" ht="28.5">
      <c r="A9" t="s">
        <v>9</v>
      </c>
      <c r="B9" s="11">
        <f>AVERAGE('Realistic Ratings'!J2:J164)</f>
        <v>77.834355828220865</v>
      </c>
      <c r="C9" s="2">
        <f>MIN('Realistic Ratings'!J2:J164)</f>
        <v>60</v>
      </c>
      <c r="D9" s="2">
        <f>MAX('Realistic Ratings'!J2:J164)</f>
        <v>100</v>
      </c>
      <c r="E9" s="2">
        <f>COUNTIF('Realistic Ratings'!J2:J164,"&lt;60")</f>
        <v>0</v>
      </c>
      <c r="F9" s="2">
        <f>COUNTIFS('Realistic Ratings'!J2:J164,"&gt;=60",'Realistic Ratings'!J2:J164,"&lt;=69")</f>
        <v>26</v>
      </c>
      <c r="G9" s="2">
        <f>COUNTIFS('Realistic Ratings'!J2:J164,"&gt;=70",'Realistic Ratings'!J2:J164,"&lt;=79")</f>
        <v>72</v>
      </c>
      <c r="H9" s="2">
        <f>COUNTIFS('Realistic Ratings'!J2:J164,"&gt;=80",'Realistic Ratings'!J2:J164,"&lt;=89")</f>
        <v>47</v>
      </c>
      <c r="I9" s="2">
        <f>COUNTIFS('Realistic Ratings'!J2:J164,"&gt;=90",'Realistic Ratings'!J2:J164,"&lt;=99")</f>
        <v>13</v>
      </c>
      <c r="J9" s="2">
        <f>COUNTIF('Realistic Ratings'!J2:J164,100)</f>
        <v>5</v>
      </c>
      <c r="K9" s="7" t="s">
        <v>376</v>
      </c>
    </row>
    <row r="10" spans="1:11">
      <c r="A10" t="s">
        <v>10</v>
      </c>
      <c r="B10" s="11">
        <f>AVERAGE('Realistic Ratings'!K2:K164)</f>
        <v>76.472392638036808</v>
      </c>
      <c r="C10" s="2">
        <f>MIN('Realistic Ratings'!K2:K164)</f>
        <v>57</v>
      </c>
      <c r="D10" s="2">
        <f>MAX('Realistic Ratings'!K2:K164)</f>
        <v>100</v>
      </c>
      <c r="E10" s="2">
        <f>COUNTIF('Realistic Ratings'!K2:K164,"&lt;60")</f>
        <v>3</v>
      </c>
      <c r="F10" s="2">
        <f>COUNTIFS('Realistic Ratings'!K2:K164,"&gt;=60",'Realistic Ratings'!K2:K164,"&lt;=69")</f>
        <v>41</v>
      </c>
      <c r="G10" s="2">
        <f>COUNTIFS('Realistic Ratings'!K2:K164,"&gt;=70",'Realistic Ratings'!K2:K164,"&lt;=79")</f>
        <v>59</v>
      </c>
      <c r="H10" s="2">
        <f>COUNTIFS('Realistic Ratings'!K2:K164,"&gt;=80",'Realistic Ratings'!K2:K164,"&lt;=89")</f>
        <v>44</v>
      </c>
      <c r="I10" s="2">
        <f>COUNTIFS('Realistic Ratings'!K2:K164,"&gt;=90",'Realistic Ratings'!K2:K164,"&lt;=99")</f>
        <v>14</v>
      </c>
      <c r="J10" s="2">
        <f>COUNTIF('Realistic Ratings'!K2:K164,100)</f>
        <v>2</v>
      </c>
      <c r="K10" s="7" t="s">
        <v>377</v>
      </c>
    </row>
    <row r="13" spans="1:11" ht="15">
      <c r="A13" s="9" t="s">
        <v>378</v>
      </c>
      <c r="B13" s="10">
        <f>AVERAGE('Realistic Ratings'!C2:K164)</f>
        <v>80.033401499659163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/>
  </sheetViews>
  <sheetFormatPr defaultRowHeight="14.25"/>
  <cols>
    <col min="1" max="1" width="28" customWidth="1"/>
    <col min="2" max="2" width="95" customWidth="1"/>
  </cols>
  <sheetData>
    <row r="1" spans="1:2" ht="27.95" customHeight="1">
      <c r="A1" s="16" t="s">
        <v>379</v>
      </c>
      <c r="B1" s="17"/>
    </row>
    <row r="2" spans="1:2" ht="32.1" customHeight="1">
      <c r="A2" s="12" t="s">
        <v>380</v>
      </c>
      <c r="B2" s="7" t="s">
        <v>381</v>
      </c>
    </row>
    <row r="3" spans="1:2" ht="32.1" customHeight="1">
      <c r="A3" s="12" t="s">
        <v>382</v>
      </c>
      <c r="B3" s="7" t="s">
        <v>383</v>
      </c>
    </row>
    <row r="4" spans="1:2" ht="32.1" customHeight="1">
      <c r="A4" s="12" t="s">
        <v>384</v>
      </c>
      <c r="B4" s="7" t="s">
        <v>385</v>
      </c>
    </row>
    <row r="5" spans="1:2" ht="32.1" customHeight="1">
      <c r="A5" s="12" t="s">
        <v>386</v>
      </c>
      <c r="B5" s="7" t="s">
        <v>387</v>
      </c>
    </row>
    <row r="6" spans="1:2" ht="32.1" customHeight="1">
      <c r="A6" s="12" t="s">
        <v>388</v>
      </c>
      <c r="B6" s="7" t="s">
        <v>389</v>
      </c>
    </row>
    <row r="7" spans="1:2" ht="32.1" customHeight="1">
      <c r="A7" s="12" t="s">
        <v>390</v>
      </c>
      <c r="B7" s="7" t="s">
        <v>391</v>
      </c>
    </row>
    <row r="8" spans="1:2" ht="32.1" customHeight="1">
      <c r="A8" s="12" t="s">
        <v>392</v>
      </c>
      <c r="B8" s="7" t="s">
        <v>393</v>
      </c>
    </row>
    <row r="9" spans="1:2" ht="32.1" customHeight="1">
      <c r="A9" s="12" t="s">
        <v>394</v>
      </c>
      <c r="B9" s="7" t="s">
        <v>395</v>
      </c>
    </row>
    <row r="10" spans="1:2" ht="32.1" customHeight="1">
      <c r="A10" s="12" t="s">
        <v>396</v>
      </c>
      <c r="B10" s="7" t="s">
        <v>397</v>
      </c>
    </row>
    <row r="11" spans="1:2" ht="32.1" customHeight="1">
      <c r="A11" s="12" t="s">
        <v>398</v>
      </c>
      <c r="B11" s="7" t="s">
        <v>399</v>
      </c>
    </row>
    <row r="12" spans="1:2" ht="32.1" customHeight="1">
      <c r="A12" s="12" t="s">
        <v>400</v>
      </c>
      <c r="B12" s="7" t="s">
        <v>401</v>
      </c>
    </row>
    <row r="13" spans="1:2" ht="32.1" customHeight="1">
      <c r="A13" s="12" t="s">
        <v>402</v>
      </c>
      <c r="B13" s="7" t="s">
        <v>403</v>
      </c>
    </row>
    <row r="14" spans="1:2" ht="32.1" customHeight="1">
      <c r="A14" s="12" t="s">
        <v>404</v>
      </c>
      <c r="B14" s="7" t="s">
        <v>405</v>
      </c>
    </row>
    <row r="15" spans="1:2" ht="32.1" customHeight="1">
      <c r="A15" s="12" t="s">
        <v>406</v>
      </c>
      <c r="B15" s="7" t="s">
        <v>407</v>
      </c>
    </row>
    <row r="16" spans="1:2" ht="32.1" customHeight="1">
      <c r="A16" s="12" t="s">
        <v>408</v>
      </c>
      <c r="B16" s="7" t="s">
        <v>409</v>
      </c>
    </row>
    <row r="17" spans="1:2" ht="32.1" customHeight="1">
      <c r="A17" s="12" t="s">
        <v>410</v>
      </c>
      <c r="B17" s="7" t="s">
        <v>411</v>
      </c>
    </row>
    <row r="18" spans="1:2" ht="32.1" customHeight="1">
      <c r="A18" s="12" t="s">
        <v>412</v>
      </c>
      <c r="B18" s="7" t="s">
        <v>413</v>
      </c>
    </row>
    <row r="19" spans="1:2" ht="32.1" customHeight="1">
      <c r="A19" s="12" t="s">
        <v>414</v>
      </c>
      <c r="B19" s="7" t="s">
        <v>415</v>
      </c>
    </row>
    <row r="20" spans="1:2" ht="32.1" customHeight="1">
      <c r="A20" s="12" t="s">
        <v>416</v>
      </c>
      <c r="B20" s="7" t="s">
        <v>417</v>
      </c>
    </row>
    <row r="21" spans="1:2" ht="32.1" customHeight="1">
      <c r="A21" s="12" t="s">
        <v>418</v>
      </c>
      <c r="B21" s="7" t="s">
        <v>419</v>
      </c>
    </row>
    <row r="22" spans="1:2" ht="32.1" customHeight="1">
      <c r="A22" s="12" t="s">
        <v>420</v>
      </c>
      <c r="B22" s="7" t="s">
        <v>421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Realistic Ratings</vt:lpstr>
      <vt:lpstr>Anchor Summary</vt:lpstr>
      <vt:lpstr>Distribution Audit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Nathaniel Grivas</cp:lastModifiedBy>
  <dcterms:modified xsi:type="dcterms:W3CDTF">2026-09-15T02:19:39Z</dcterms:modified>
</cp:coreProperties>
</file>